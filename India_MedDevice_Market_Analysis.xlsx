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MIMIC-3\Medical devices\excel\"/>
    </mc:Choice>
  </mc:AlternateContent>
  <xr:revisionPtr revIDLastSave="0" documentId="13_ncr:1_{0867D11E-7ECF-46E7-9DBB-2044ACF520FA}" xr6:coauthVersionLast="47" xr6:coauthVersionMax="47" xr10:uidLastSave="{00000000-0000-0000-0000-000000000000}"/>
  <bookViews>
    <workbookView xWindow="-108" yWindow="-108" windowWidth="23256" windowHeight="13176" xr2:uid="{F99D10FA-0733-4545-BBFA-095B184D2875}"/>
  </bookViews>
  <sheets>
    <sheet name="Market size" sheetId="1" r:id="rId1"/>
    <sheet name="Segment analysis" sheetId="2" r:id="rId2"/>
    <sheet name="Trade analysis" sheetId="3" r:id="rId3"/>
    <sheet name="PLI Scheme" sheetId="4" r:id="rId4"/>
    <sheet name="Companies" sheetId="5" r:id="rId5"/>
    <sheet name="Sources" sheetId="6" r:id="rId6"/>
  </sheets>
  <definedNames>
    <definedName name="_xlnm._FilterDatabase" localSheetId="5" hidden="1">Sources!$C$3:$C$13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4" l="1"/>
  <c r="E6" i="4"/>
  <c r="E7" i="4"/>
  <c r="E8" i="4"/>
  <c r="E9" i="4"/>
  <c r="E4" i="4"/>
  <c r="D5" i="4"/>
  <c r="D6" i="4"/>
  <c r="D7" i="4"/>
  <c r="D8" i="4"/>
  <c r="D9" i="4"/>
  <c r="D4" i="4"/>
  <c r="D5" i="3"/>
  <c r="D6" i="3"/>
  <c r="D7" i="3"/>
  <c r="D8" i="3"/>
  <c r="D9" i="3"/>
  <c r="D10" i="3"/>
  <c r="C13" i="3"/>
  <c r="E6" i="3"/>
  <c r="E7" i="3"/>
  <c r="E8" i="3"/>
  <c r="E9" i="3"/>
  <c r="E5" i="3"/>
  <c r="D4" i="3"/>
  <c r="H5" i="2"/>
  <c r="H6" i="2"/>
  <c r="H7" i="2"/>
  <c r="H8" i="2"/>
  <c r="H9" i="2"/>
  <c r="H10" i="2"/>
  <c r="H4" i="2"/>
  <c r="C14" i="1"/>
  <c r="C6" i="1"/>
  <c r="C7" i="1"/>
  <c r="C8" i="1"/>
  <c r="C9" i="1"/>
  <c r="C10" i="1"/>
  <c r="C11" i="1"/>
  <c r="C5" i="1"/>
</calcChain>
</file>

<file path=xl/sharedStrings.xml><?xml version="1.0" encoding="utf-8"?>
<sst xmlns="http://schemas.openxmlformats.org/spreadsheetml/2006/main" count="225" uniqueCount="181">
  <si>
    <t>INDIA Medical Devices Market - Size &amp; Growth (USD billion)</t>
  </si>
  <si>
    <t>Year</t>
  </si>
  <si>
    <t>YoY Growth %</t>
  </si>
  <si>
    <t>Import %</t>
  </si>
  <si>
    <t>Dom. Mfg %</t>
  </si>
  <si>
    <t>Source</t>
  </si>
  <si>
    <t>FY2019</t>
  </si>
  <si>
    <t>FY2020</t>
  </si>
  <si>
    <t>FY2021</t>
  </si>
  <si>
    <t>FY2022</t>
  </si>
  <si>
    <t>FY2023</t>
  </si>
  <si>
    <t>FY2024</t>
  </si>
  <si>
    <t>FY2025</t>
  </si>
  <si>
    <t>FY2026(proj)</t>
  </si>
  <si>
    <t>FY2030(target)</t>
  </si>
  <si>
    <t>-</t>
  </si>
  <si>
    <t>Market Size($B)</t>
  </si>
  <si>
    <t>IBEF</t>
  </si>
  <si>
    <t>IBEF / Invest India</t>
  </si>
  <si>
    <t>PIB / Industry Estimates</t>
  </si>
  <si>
    <t>Invest India / Projection</t>
  </si>
  <si>
    <t>Industry Projection</t>
  </si>
  <si>
    <t>Government Target / CII</t>
  </si>
  <si>
    <t>CAGR FY2019–FY2030</t>
  </si>
  <si>
    <t>→</t>
  </si>
  <si>
    <t>Segment</t>
  </si>
  <si>
    <t>Market Size 2024 ($B)</t>
  </si>
  <si>
    <t>Market Size 2030 ($B)</t>
  </si>
  <si>
    <t>CAGR %</t>
  </si>
  <si>
    <t>Import Dependency %</t>
  </si>
  <si>
    <t>PLI Priority</t>
  </si>
  <si>
    <t>Key Players</t>
  </si>
  <si>
    <t>Opportunity Score</t>
  </si>
  <si>
    <t>Diagnostic Imaging</t>
  </si>
  <si>
    <t>Y</t>
  </si>
  <si>
    <t>GE HealthCare, Siemens Healthineers, Philips</t>
  </si>
  <si>
    <t>IVD (Diagnostics)</t>
  </si>
  <si>
    <t>Abbott, Roche, Agappe</t>
  </si>
  <si>
    <t>Wearables / Digital Health</t>
  </si>
  <si>
    <t>N</t>
  </si>
  <si>
    <t>Orthopaedics</t>
  </si>
  <si>
    <t>Zimmer Biomet, Stryker</t>
  </si>
  <si>
    <t>Cardiac Devices</t>
  </si>
  <si>
    <t>Medtronic, Abbott</t>
  </si>
  <si>
    <t>Consumables &amp; Implants</t>
  </si>
  <si>
    <t>Poly Medicure, Romsons</t>
  </si>
  <si>
    <t>Cancer Care / Radiotherapy</t>
  </si>
  <si>
    <t>Noise, Boat, Apple</t>
  </si>
  <si>
    <t>SEGMENT ANALYSIS</t>
  </si>
  <si>
    <t>Rank</t>
  </si>
  <si>
    <t>Reason</t>
  </si>
  <si>
    <t>Wearables</t>
  </si>
  <si>
    <t>High CAGR + large market</t>
  </si>
  <si>
    <t>Consumables</t>
  </si>
  <si>
    <t>Strong domestic manufacturing</t>
  </si>
  <si>
    <t>Cardiac</t>
  </si>
  <si>
    <t>Import substitution opportunity</t>
  </si>
  <si>
    <t>Exports (₹ Cr)</t>
  </si>
  <si>
    <t>Imports (₹ Cr)</t>
  </si>
  <si>
    <t>Trade Deficit (₹ Cr)</t>
  </si>
  <si>
    <t>Export Growth %</t>
  </si>
  <si>
    <t>FY2030 (Target)</t>
  </si>
  <si>
    <t>CAGR FY2025→FY2030</t>
  </si>
  <si>
    <t>Trade Analysis</t>
  </si>
  <si>
    <t>Metric</t>
  </si>
  <si>
    <t>Target</t>
  </si>
  <si>
    <t>Achieved</t>
  </si>
  <si>
    <t>Status</t>
  </si>
  <si>
    <t>Total Investment</t>
  </si>
  <si>
    <t>Companies Approved</t>
  </si>
  <si>
    <t>Products Commissioned</t>
  </si>
  <si>
    <t>Cumulative Sales</t>
  </si>
  <si>
    <t>Exports under PLI</t>
  </si>
  <si>
    <t>Incentive Disbursed</t>
  </si>
  <si>
    <t>Achievement %</t>
  </si>
  <si>
    <t>PLI SCHEME IMPACT TRACKER</t>
  </si>
  <si>
    <t>Company</t>
  </si>
  <si>
    <t>Type</t>
  </si>
  <si>
    <t>Headquarters</t>
  </si>
  <si>
    <t>Key Products in India</t>
  </si>
  <si>
    <t>Revenue (Approx.)</t>
  </si>
  <si>
    <t>Strategic Move 2023–24</t>
  </si>
  <si>
    <t>Medtronic</t>
  </si>
  <si>
    <t>MNC</t>
  </si>
  <si>
    <t>Ireland / USA</t>
  </si>
  <si>
    <t>Cardiac devices, surgical systems</t>
  </si>
  <si>
    <t>$32B</t>
  </si>
  <si>
    <t>Expanded India manufacturing &amp; R&amp;D</t>
  </si>
  <si>
    <t>GE HealthCare</t>
  </si>
  <si>
    <t>USA</t>
  </si>
  <si>
    <t>Imaging systems, CT, MRI</t>
  </si>
  <si>
    <t>$19B</t>
  </si>
  <si>
    <t>AI-enabled diagnostics expansion</t>
  </si>
  <si>
    <t>Siemens Healthineers</t>
  </si>
  <si>
    <t>Germany</t>
  </si>
  <si>
    <t>MRI, CT, lab diagnostics</t>
  </si>
  <si>
    <t>$24B</t>
  </si>
  <si>
    <t>Strengthened India diagnostics footprint</t>
  </si>
  <si>
    <t>Philips</t>
  </si>
  <si>
    <t>Netherlands</t>
  </si>
  <si>
    <t>Patient monitoring, imaging</t>
  </si>
  <si>
    <t>Increased connected healthcare focus</t>
  </si>
  <si>
    <t>Abbott</t>
  </si>
  <si>
    <t>Diagnostics, cardiac devices</t>
  </si>
  <si>
    <t>$40B</t>
  </si>
  <si>
    <t>Expanded diagnostics manufacturing</t>
  </si>
  <si>
    <t>Johnson &amp; Johnson</t>
  </si>
  <si>
    <t>Orthopaedics, surgery products</t>
  </si>
  <si>
    <t>$85B</t>
  </si>
  <si>
    <t>Local manufacturing partnerships</t>
  </si>
  <si>
    <t>BD</t>
  </si>
  <si>
    <t>Syringes, diagnostics, consumables</t>
  </si>
  <si>
    <t>$20B</t>
  </si>
  <si>
    <t>Expanded consumables manufacturing</t>
  </si>
  <si>
    <t>BPL Medical Technologies</t>
  </si>
  <si>
    <t>Indian</t>
  </si>
  <si>
    <t>Bengaluru, India</t>
  </si>
  <si>
    <t>ECG, imaging systems</t>
  </si>
  <si>
    <t>Private</t>
  </si>
  <si>
    <t>Expanded diagnostic equipment production</t>
  </si>
  <si>
    <t>Allengers</t>
  </si>
  <si>
    <t>Chandigarh, India</t>
  </si>
  <si>
    <t>Radiology, imaging</t>
  </si>
  <si>
    <t>Increased exports to developing markets</t>
  </si>
  <si>
    <t>Panacea Medical Technologies</t>
  </si>
  <si>
    <t>Linear accelerators, cancer care</t>
  </si>
  <si>
    <t>Indigenous radiotherapy manufacturing</t>
  </si>
  <si>
    <t>Agappe Diagnostics</t>
  </si>
  <si>
    <t>Kerala, India</t>
  </si>
  <si>
    <t>IVD diagnostics</t>
  </si>
  <si>
    <t>Expanded reagent manufacturing</t>
  </si>
  <si>
    <t>Trivitron Healthcare</t>
  </si>
  <si>
    <t>Chennai, India</t>
  </si>
  <si>
    <t>Imaging, diagnostics</t>
  </si>
  <si>
    <t>Expanded “Made in India” device portfolio</t>
  </si>
  <si>
    <t xml:space="preserve"> COMPETITIVE LANDSCAPE</t>
  </si>
  <si>
    <t>Category</t>
  </si>
  <si>
    <t>Count</t>
  </si>
  <si>
    <t>MNC Companies</t>
  </si>
  <si>
    <t>Indian Companies</t>
  </si>
  <si>
    <t>Source Name</t>
  </si>
  <si>
    <t>URL</t>
  </si>
  <si>
    <t>Date Accessed</t>
  </si>
  <si>
    <t>Data Used For</t>
  </si>
  <si>
    <t>IBEF Medical Devices Industry Report</t>
  </si>
  <si>
    <t>https://www.ibef.org/industry/medical-devices</t>
  </si>
  <si>
    <t>Government / Industry</t>
  </si>
  <si>
    <t>Market size, exports, FDI, domestic manufacturing</t>
  </si>
  <si>
    <t>IBEF Medical Devices Presentation</t>
  </si>
  <si>
    <t>https://www.ibef.org/industry/medical-devices-presentation</t>
  </si>
  <si>
    <t>Charts, CAGR, projections</t>
  </si>
  <si>
    <t>PIB – PLI Scheme Updates</t>
  </si>
  <si>
    <t>https://pib.gov.in</t>
  </si>
  <si>
    <t>Government</t>
  </si>
  <si>
    <t>PLI investment, approvals, incentives</t>
  </si>
  <si>
    <t>Invest India – Medical Devices</t>
  </si>
  <si>
    <t>https://www.investindia.gov.in</t>
  </si>
  <si>
    <t>FDI, manufacturing ecosystem</t>
  </si>
  <si>
    <t>India Briefing</t>
  </si>
  <si>
    <t>https://www.india-briefing.com</t>
  </si>
  <si>
    <t>Industry Analysis</t>
  </si>
  <si>
    <t>Segment-level analysis</t>
  </si>
  <si>
    <t>IMARC Group</t>
  </si>
  <si>
    <t>https://www.imarcgroup.com</t>
  </si>
  <si>
    <t>Industry Research</t>
  </si>
  <si>
    <t>Market forecasts</t>
  </si>
  <si>
    <t>Fortune Business Insights</t>
  </si>
  <si>
    <t>https://www.fortunebusinessinsights.com</t>
  </si>
  <si>
    <t>Competitive landscape, CAGR</t>
  </si>
  <si>
    <t>PRS India</t>
  </si>
  <si>
    <t>https://prsindia.org</t>
  </si>
  <si>
    <t>Policy Research</t>
  </si>
  <si>
    <t>Medical device policy references</t>
  </si>
  <si>
    <t>Confederation of Indian Industry (CII)</t>
  </si>
  <si>
    <t>https://www.cii.in</t>
  </si>
  <si>
    <t>Industry Association</t>
  </si>
  <si>
    <t>FY2030 export target</t>
  </si>
  <si>
    <t>Department of Pharmaceuticals</t>
  </si>
  <si>
    <t>https://pharmaceuticals.gov.in</t>
  </si>
  <si>
    <t>PLI scheme details</t>
  </si>
  <si>
    <t xml:space="preserve">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</si>
</sst>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0" x14ac:knownFonts="1">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b/>
      <sz val="11"/>
      <name val="Calibri"/>
      <family val="2"/>
      <scheme val="minor"/>
    </font>
    <font>
      <b/>
      <sz val="11"/>
      <color theme="0"/>
      <name val="Calibri"/>
      <family val="2"/>
      <scheme val="minor"/>
    </font>
    <font>
      <b/>
      <sz val="14"/>
      <color theme="0"/>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4"/>
        <bgColor indexed="64"/>
      </patternFill>
    </fill>
    <fill>
      <patternFill patternType="solid">
        <fgColor theme="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9" fillId="0" borderId="0" applyNumberFormat="0" applyFill="0" applyBorder="0" applyAlignment="0" applyProtection="0"/>
  </cellStyleXfs>
  <cellXfs count="46">
    <xf numFmtId="0" fontId="0" fillId="0" borderId="0" xfId="0"/>
    <xf numFmtId="0" fontId="3" fillId="0" borderId="1" xfId="0" applyFont="1" applyBorder="1"/>
    <xf numFmtId="44" fontId="3" fillId="0" borderId="1" xfId="1" applyFont="1" applyBorder="1"/>
    <xf numFmtId="9" fontId="3" fillId="0" borderId="1" xfId="2" applyFont="1" applyBorder="1"/>
    <xf numFmtId="0" fontId="4" fillId="0" borderId="1" xfId="0" applyFont="1" applyBorder="1"/>
    <xf numFmtId="44" fontId="4" fillId="0" borderId="1" xfId="1" applyFont="1" applyBorder="1"/>
    <xf numFmtId="9" fontId="4" fillId="0" borderId="1" xfId="2" applyFont="1" applyBorder="1"/>
    <xf numFmtId="8" fontId="3" fillId="0" borderId="1" xfId="1" applyNumberFormat="1" applyFont="1" applyBorder="1"/>
    <xf numFmtId="0" fontId="3" fillId="0" borderId="1" xfId="0" quotePrefix="1" applyFont="1" applyBorder="1"/>
    <xf numFmtId="0" fontId="0" fillId="0" borderId="1" xfId="0" applyBorder="1"/>
    <xf numFmtId="44" fontId="3" fillId="0" borderId="0" xfId="1" applyFont="1" applyBorder="1"/>
    <xf numFmtId="0" fontId="3" fillId="0" borderId="0" xfId="0" applyFont="1"/>
    <xf numFmtId="9" fontId="3" fillId="0" borderId="0" xfId="2" applyFont="1" applyBorder="1"/>
    <xf numFmtId="0" fontId="5" fillId="2" borderId="1" xfId="0" applyFont="1" applyFill="1" applyBorder="1"/>
    <xf numFmtId="8" fontId="5" fillId="2" borderId="1" xfId="1" applyNumberFormat="1" applyFont="1" applyFill="1" applyBorder="1"/>
    <xf numFmtId="9" fontId="5" fillId="2" borderId="1" xfId="2" applyFont="1" applyFill="1" applyBorder="1"/>
    <xf numFmtId="0" fontId="0" fillId="0" borderId="0" xfId="0" applyAlignment="1">
      <alignment horizontal="center"/>
    </xf>
    <xf numFmtId="0" fontId="1" fillId="0" borderId="1" xfId="0" applyFont="1" applyBorder="1" applyAlignment="1">
      <alignment horizontal="center" vertical="center" wrapText="1"/>
    </xf>
    <xf numFmtId="0" fontId="0" fillId="0" borderId="1" xfId="0" applyBorder="1" applyAlignment="1">
      <alignment vertical="center" wrapText="1"/>
    </xf>
    <xf numFmtId="9" fontId="0" fillId="0" borderId="1" xfId="0" applyNumberFormat="1"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wrapText="1"/>
    </xf>
    <xf numFmtId="3" fontId="0" fillId="0" borderId="1" xfId="0" applyNumberFormat="1" applyBorder="1" applyAlignment="1">
      <alignment horizontal="right" vertical="center" wrapText="1"/>
    </xf>
    <xf numFmtId="3" fontId="0" fillId="0" borderId="1" xfId="0" applyNumberFormat="1" applyBorder="1" applyAlignment="1">
      <alignment vertical="center" wrapText="1"/>
    </xf>
    <xf numFmtId="10" fontId="0" fillId="0" borderId="1" xfId="0" applyNumberFormat="1" applyBorder="1" applyAlignment="1">
      <alignment vertical="center" wrapText="1"/>
    </xf>
    <xf numFmtId="0" fontId="7" fillId="3" borderId="1" xfId="0" applyFont="1" applyFill="1" applyBorder="1" applyAlignment="1">
      <alignment vertical="center" wrapText="1"/>
    </xf>
    <xf numFmtId="0" fontId="0" fillId="4" borderId="1" xfId="0" applyFill="1" applyBorder="1" applyAlignment="1">
      <alignment vertical="center" wrapText="1"/>
    </xf>
    <xf numFmtId="0" fontId="9" fillId="0" borderId="1" xfId="3" applyBorder="1" applyAlignment="1">
      <alignment vertical="center" wrapText="1"/>
    </xf>
    <xf numFmtId="15" fontId="0" fillId="0" borderId="1" xfId="0" applyNumberFormat="1" applyBorder="1" applyAlignment="1">
      <alignment vertical="center" wrapText="1"/>
    </xf>
    <xf numFmtId="0" fontId="6" fillId="2" borderId="1" xfId="0" applyFont="1" applyFill="1" applyBorder="1" applyAlignment="1">
      <alignment horizontal="center"/>
    </xf>
    <xf numFmtId="0" fontId="3" fillId="2" borderId="1" xfId="0" applyFont="1" applyFill="1" applyBorder="1" applyAlignment="1">
      <alignment horizontal="center"/>
    </xf>
    <xf numFmtId="0" fontId="1" fillId="2" borderId="1" xfId="0" applyFont="1" applyFill="1" applyBorder="1" applyAlignment="1">
      <alignment horizontal="center"/>
    </xf>
    <xf numFmtId="0" fontId="0" fillId="2" borderId="1" xfId="0" applyFill="1" applyBorder="1" applyAlignment="1">
      <alignment horizontal="center"/>
    </xf>
    <xf numFmtId="0" fontId="5" fillId="2" borderId="3" xfId="0" applyFont="1" applyFill="1" applyBorder="1" applyAlignment="1">
      <alignment horizontal="left"/>
    </xf>
    <xf numFmtId="0" fontId="5" fillId="2" borderId="5" xfId="0" applyFont="1" applyFill="1" applyBorder="1" applyAlignment="1">
      <alignment horizontal="left"/>
    </xf>
    <xf numFmtId="0" fontId="8" fillId="2" borderId="1" xfId="0" applyFont="1" applyFill="1" applyBorder="1" applyAlignment="1">
      <alignment horizontal="center"/>
    </xf>
    <xf numFmtId="0" fontId="6" fillId="2" borderId="8" xfId="0" applyFont="1" applyFill="1" applyBorder="1" applyAlignment="1">
      <alignment horizontal="center"/>
    </xf>
    <xf numFmtId="0" fontId="6" fillId="2" borderId="9" xfId="0" applyFont="1" applyFill="1" applyBorder="1" applyAlignment="1">
      <alignment horizontal="center"/>
    </xf>
    <xf numFmtId="0" fontId="6" fillId="2" borderId="10" xfId="0" applyFont="1" applyFill="1"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44" fontId="7" fillId="2" borderId="1" xfId="1" applyFont="1" applyFill="1" applyBorder="1"/>
  </cellXfs>
  <cellStyles count="4">
    <cellStyle name="Currency" xfId="1" builtinId="4"/>
    <cellStyle name="Hyperlink" xfId="3" builtinId="8"/>
    <cellStyle name="Normal" xfId="0" builtinId="0"/>
    <cellStyle name="Percent" xfId="2" builtinId="5"/>
  </cellStyles>
  <dxfs count="7">
    <dxf>
      <font>
        <b/>
        <i val="0"/>
      </font>
      <fill>
        <patternFill>
          <bgColor rgb="FFF8AE08"/>
        </patternFill>
      </fill>
    </dxf>
    <dxf>
      <font>
        <b/>
        <i val="0"/>
        <color theme="0"/>
      </font>
      <fill>
        <patternFill>
          <bgColor rgb="FF4CB41E"/>
        </patternFill>
      </fill>
    </dxf>
    <dxf>
      <font>
        <b/>
        <i val="0"/>
      </font>
      <fill>
        <patternFill>
          <bgColor rgb="FF33ED40"/>
        </patternFill>
      </fill>
    </dxf>
    <dxf>
      <font>
        <b/>
        <i val="0"/>
        <color theme="0"/>
      </font>
      <fill>
        <patternFill>
          <bgColor rgb="FF217D2E"/>
        </patternFill>
      </fill>
    </dxf>
    <dxf>
      <font>
        <b/>
        <i val="0"/>
      </font>
      <fill>
        <patternFill>
          <bgColor rgb="FFF4F42C"/>
        </patternFill>
      </fill>
    </dxf>
    <dxf>
      <font>
        <b/>
        <i val="0"/>
        <color theme="0"/>
      </font>
      <fill>
        <patternFill>
          <bgColor rgb="FF19D145"/>
        </patternFill>
      </fill>
    </dxf>
    <dxf>
      <font>
        <b/>
        <i val="0"/>
        <color theme="0"/>
      </font>
      <fill>
        <patternFill>
          <bgColor rgb="FF268713"/>
        </patternFill>
      </fill>
    </dxf>
  </dxfs>
  <tableStyles count="0" defaultTableStyle="TableStyleMedium2" defaultPivotStyle="PivotStyleLight16"/>
  <colors>
    <mruColors>
      <color rgb="FF4CB41E"/>
      <color rgb="FFF8AE08"/>
      <color rgb="FFF4F42C"/>
      <color rgb="FF217D2E"/>
      <color rgb="FF33ED40"/>
      <color rgb="FFFFFF00"/>
      <color rgb="FF359C20"/>
      <color rgb="FF63E430"/>
      <color rgb="FF19D145"/>
      <color rgb="FF26DF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Market Size($B)</c:v>
          </c:tx>
          <c:spPr>
            <a:ln w="28575" cap="rnd">
              <a:solidFill>
                <a:schemeClr val="accent2"/>
              </a:solidFill>
              <a:round/>
            </a:ln>
            <a:effectLst/>
          </c:spPr>
          <c:marker>
            <c:symbol val="circle"/>
            <c:size val="5"/>
            <c:spPr>
              <a:solidFill>
                <a:schemeClr val="accent1"/>
              </a:solidFill>
              <a:ln w="9525">
                <a:solidFill>
                  <a:schemeClr val="accent1"/>
                </a:solidFill>
                <a:prstDash val="solid"/>
              </a:ln>
              <a:effectLst/>
            </c:spPr>
          </c:marker>
          <c:dPt>
            <c:idx val="7"/>
            <c:marker>
              <c:symbol val="circle"/>
              <c:size val="5"/>
              <c:spPr>
                <a:solidFill>
                  <a:schemeClr val="accent1"/>
                </a:solidFill>
                <a:ln w="9525">
                  <a:solidFill>
                    <a:schemeClr val="accent1"/>
                  </a:solidFill>
                  <a:prstDash val="solid"/>
                </a:ln>
                <a:effectLst/>
              </c:spPr>
            </c:marker>
            <c:bubble3D val="0"/>
            <c:spPr>
              <a:ln w="28575" cap="rnd">
                <a:solidFill>
                  <a:schemeClr val="accent2"/>
                </a:solidFill>
                <a:prstDash val="sysDot"/>
                <a:round/>
              </a:ln>
              <a:effectLst/>
            </c:spPr>
            <c:extLst>
              <c:ext xmlns:c16="http://schemas.microsoft.com/office/drawing/2014/chart" uri="{C3380CC4-5D6E-409C-BE32-E72D297353CC}">
                <c16:uniqueId val="{00000007-C39D-4607-BB13-3D040AEF5DE5}"/>
              </c:ext>
            </c:extLst>
          </c:dPt>
          <c:dPt>
            <c:idx val="8"/>
            <c:marker>
              <c:symbol val="circle"/>
              <c:size val="5"/>
              <c:spPr>
                <a:solidFill>
                  <a:schemeClr val="accent1"/>
                </a:solidFill>
                <a:ln w="9525">
                  <a:solidFill>
                    <a:schemeClr val="accent1"/>
                  </a:solidFill>
                  <a:prstDash val="solid"/>
                </a:ln>
                <a:effectLst/>
              </c:spPr>
            </c:marker>
            <c:bubble3D val="0"/>
            <c:spPr>
              <a:ln w="28575" cap="rnd">
                <a:solidFill>
                  <a:schemeClr val="accent2"/>
                </a:solidFill>
                <a:prstDash val="sysDot"/>
                <a:round/>
              </a:ln>
              <a:effectLst/>
            </c:spPr>
            <c:extLst>
              <c:ext xmlns:c16="http://schemas.microsoft.com/office/drawing/2014/chart" uri="{C3380CC4-5D6E-409C-BE32-E72D297353CC}">
                <c16:uniqueId val="{00000008-C39D-4607-BB13-3D040AEF5D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 size'!$A$4:$A$12</c:f>
              <c:strCache>
                <c:ptCount val="9"/>
                <c:pt idx="0">
                  <c:v>FY2019</c:v>
                </c:pt>
                <c:pt idx="1">
                  <c:v>FY2020</c:v>
                </c:pt>
                <c:pt idx="2">
                  <c:v>FY2021</c:v>
                </c:pt>
                <c:pt idx="3">
                  <c:v>FY2022</c:v>
                </c:pt>
                <c:pt idx="4">
                  <c:v>FY2023</c:v>
                </c:pt>
                <c:pt idx="5">
                  <c:v>FY2024</c:v>
                </c:pt>
                <c:pt idx="6">
                  <c:v>FY2025</c:v>
                </c:pt>
                <c:pt idx="7">
                  <c:v>FY2026(proj)</c:v>
                </c:pt>
                <c:pt idx="8">
                  <c:v>FY2030(target)</c:v>
                </c:pt>
              </c:strCache>
            </c:strRef>
          </c:cat>
          <c:val>
            <c:numRef>
              <c:f>'Market size'!$B$4:$B$12</c:f>
              <c:numCache>
                <c:formatCode>"$"#,##0.00_);[Red]\("$"#,##0.00\)</c:formatCode>
                <c:ptCount val="9"/>
                <c:pt idx="0">
                  <c:v>7</c:v>
                </c:pt>
                <c:pt idx="1">
                  <c:v>8</c:v>
                </c:pt>
                <c:pt idx="2">
                  <c:v>9.4</c:v>
                </c:pt>
                <c:pt idx="3">
                  <c:v>11</c:v>
                </c:pt>
                <c:pt idx="4">
                  <c:v>13</c:v>
                </c:pt>
                <c:pt idx="5">
                  <c:v>15.9</c:v>
                </c:pt>
                <c:pt idx="6">
                  <c:v>18</c:v>
                </c:pt>
                <c:pt idx="7">
                  <c:v>20.7</c:v>
                </c:pt>
                <c:pt idx="8">
                  <c:v>50</c:v>
                </c:pt>
              </c:numCache>
            </c:numRef>
          </c:val>
          <c:smooth val="0"/>
          <c:extLst>
            <c:ext xmlns:c16="http://schemas.microsoft.com/office/drawing/2014/chart" uri="{C3380CC4-5D6E-409C-BE32-E72D297353CC}">
              <c16:uniqueId val="{00000002-C39D-4607-BB13-3D040AEF5DE5}"/>
            </c:ext>
          </c:extLst>
        </c:ser>
        <c:dLbls>
          <c:showLegendKey val="0"/>
          <c:showVal val="0"/>
          <c:showCatName val="0"/>
          <c:showSerName val="0"/>
          <c:showPercent val="0"/>
          <c:showBubbleSize val="0"/>
        </c:dLbls>
        <c:marker val="1"/>
        <c:smooth val="0"/>
        <c:axId val="1290738752"/>
        <c:axId val="1290740192"/>
      </c:lineChart>
      <c:catAx>
        <c:axId val="129073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40192"/>
        <c:crosses val="autoZero"/>
        <c:auto val="1"/>
        <c:lblAlgn val="ctr"/>
        <c:lblOffset val="100"/>
        <c:noMultiLvlLbl val="0"/>
      </c:catAx>
      <c:valAx>
        <c:axId val="1290740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387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v>Market Size</c:v>
          </c:tx>
          <c:spPr>
            <a:solidFill>
              <a:schemeClr val="accent1">
                <a:alpha val="75000"/>
              </a:schemeClr>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0353-4995-9748-8DF7FB08D247}"/>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0353-4995-9748-8DF7FB08D247}"/>
              </c:ext>
            </c:extLst>
          </c:dPt>
          <c:dPt>
            <c:idx val="2"/>
            <c:invertIfNegative val="0"/>
            <c:bubble3D val="0"/>
            <c:spPr>
              <a:solidFill>
                <a:srgbClr val="FF0000"/>
              </a:solidFill>
              <a:ln>
                <a:noFill/>
              </a:ln>
              <a:effectLst/>
            </c:spPr>
            <c:extLst>
              <c:ext xmlns:c16="http://schemas.microsoft.com/office/drawing/2014/chart" uri="{C3380CC4-5D6E-409C-BE32-E72D297353CC}">
                <c16:uniqueId val="{00000003-0353-4995-9748-8DF7FB08D247}"/>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4-0353-4995-9748-8DF7FB08D247}"/>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5-0353-4995-9748-8DF7FB08D247}"/>
              </c:ext>
            </c:extLst>
          </c:dPt>
          <c:dPt>
            <c:idx val="5"/>
            <c:invertIfNegative val="0"/>
            <c:bubble3D val="0"/>
            <c:spPr>
              <a:solidFill>
                <a:srgbClr val="FFC000"/>
              </a:solidFill>
              <a:ln>
                <a:noFill/>
              </a:ln>
              <a:effectLst/>
            </c:spPr>
            <c:extLst>
              <c:ext xmlns:c16="http://schemas.microsoft.com/office/drawing/2014/chart" uri="{C3380CC4-5D6E-409C-BE32-E72D297353CC}">
                <c16:uniqueId val="{00000006-0353-4995-9748-8DF7FB08D247}"/>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0353-4995-9748-8DF7FB08D247}"/>
              </c:ext>
            </c:extLst>
          </c:dPt>
          <c:dLbls>
            <c:dLbl>
              <c:idx val="0"/>
              <c:layout>
                <c:manualLayout>
                  <c:x val="-0.12700801386848568"/>
                  <c:y val="9.6654972969586861E-2"/>
                </c:manualLayout>
              </c:layout>
              <c:tx>
                <c:rich>
                  <a:bodyPr/>
                  <a:lstStyle/>
                  <a:p>
                    <a:fld id="{293B7D10-52F1-4B10-A428-ED8F93BE1CF1}" type="CELLRANGE">
                      <a:rPr lang="en-US" baseline="0"/>
                      <a:pPr/>
                      <a:t>[CELLRANGE]</a:t>
                    </a:fld>
                    <a:r>
                      <a:rPr lang="en-US" baseline="0"/>
                      <a:t>, </a:t>
                    </a:r>
                    <a:fld id="{3539EC33-E51D-47DA-8B2A-B168AB1E7BB3}"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53-4995-9748-8DF7FB08D247}"/>
                </c:ext>
              </c:extLst>
            </c:dLbl>
            <c:dLbl>
              <c:idx val="1"/>
              <c:layout>
                <c:manualLayout>
                  <c:x val="8.991717795998987E-3"/>
                  <c:y val="-7.1871646567128855E-2"/>
                </c:manualLayout>
              </c:layout>
              <c:tx>
                <c:rich>
                  <a:bodyPr/>
                  <a:lstStyle/>
                  <a:p>
                    <a:fld id="{5ECB50EB-B515-4183-9B73-F17181AD1A5D}" type="CELLRANGE">
                      <a:rPr lang="en-US" baseline="0"/>
                      <a:pPr/>
                      <a:t>[CELLRANGE]</a:t>
                    </a:fld>
                    <a:r>
                      <a:rPr lang="en-US" baseline="0"/>
                      <a:t>, </a:t>
                    </a:r>
                    <a:fld id="{E2B2CE21-4767-4DB8-9232-01BC63412149}"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353-4995-9748-8DF7FB08D247}"/>
                </c:ext>
              </c:extLst>
            </c:dLbl>
            <c:dLbl>
              <c:idx val="2"/>
              <c:layout>
                <c:manualLayout>
                  <c:x val="2.4727223938997213E-2"/>
                  <c:y val="0"/>
                </c:manualLayout>
              </c:layout>
              <c:tx>
                <c:rich>
                  <a:bodyPr/>
                  <a:lstStyle/>
                  <a:p>
                    <a:fld id="{9932BA4D-3EBB-475C-9E47-E6A79E712893}" type="CELLRANGE">
                      <a:rPr lang="en-US" baseline="0"/>
                      <a:pPr/>
                      <a:t>[CELLRANGE]</a:t>
                    </a:fld>
                    <a:r>
                      <a:rPr lang="en-US" baseline="0"/>
                      <a:t>, </a:t>
                    </a:r>
                    <a:fld id="{C87B114C-C33B-4D4B-A205-A4DC2609B941}"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53-4995-9748-8DF7FB08D247}"/>
                </c:ext>
              </c:extLst>
            </c:dLbl>
            <c:dLbl>
              <c:idx val="3"/>
              <c:layout>
                <c:manualLayout>
                  <c:x val="-9.2165107408989616E-2"/>
                  <c:y val="9.6654972969586958E-2"/>
                </c:manualLayout>
              </c:layout>
              <c:tx>
                <c:rich>
                  <a:bodyPr/>
                  <a:lstStyle/>
                  <a:p>
                    <a:fld id="{B62FF2AF-358C-4F4E-9C20-D1836229109B}" type="CELLRANGE">
                      <a:rPr lang="en-US" baseline="0"/>
                      <a:pPr/>
                      <a:t>[CELLRANGE]</a:t>
                    </a:fld>
                    <a:r>
                      <a:rPr lang="en-US" baseline="0"/>
                      <a:t>, </a:t>
                    </a:r>
                    <a:fld id="{D3FC221C-BD6F-4FB4-ADFC-20808C33354D}"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353-4995-9748-8DF7FB08D247}"/>
                </c:ext>
              </c:extLst>
            </c:dLbl>
            <c:dLbl>
              <c:idx val="4"/>
              <c:layout>
                <c:manualLayout>
                  <c:x val="1.7983435591997974E-2"/>
                  <c:y val="-4.7088320164670565E-2"/>
                </c:manualLayout>
              </c:layout>
              <c:tx>
                <c:rich>
                  <a:bodyPr/>
                  <a:lstStyle/>
                  <a:p>
                    <a:fld id="{5434D3B2-DCC6-4DF8-A564-5C42B60D7E29}" type="CELLRANGE">
                      <a:rPr lang="en-US" baseline="0"/>
                      <a:pPr/>
                      <a:t>[CELLRANGE]</a:t>
                    </a:fld>
                    <a:r>
                      <a:rPr lang="en-US" baseline="0"/>
                      <a:t>, </a:t>
                    </a:r>
                    <a:fld id="{D529F4E2-90C0-4D19-8272-BA8DF39D2BAD}"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353-4995-9748-8DF7FB08D247}"/>
                </c:ext>
              </c:extLst>
            </c:dLbl>
            <c:dLbl>
              <c:idx val="5"/>
              <c:layout>
                <c:manualLayout>
                  <c:x val="1.011568252049886E-2"/>
                  <c:y val="0"/>
                </c:manualLayout>
              </c:layout>
              <c:tx>
                <c:rich>
                  <a:bodyPr/>
                  <a:lstStyle/>
                  <a:p>
                    <a:fld id="{66D5D64E-3D70-4E16-A393-B80CBCAA9566}" type="CELLRANGE">
                      <a:rPr lang="en-US" baseline="0"/>
                      <a:pPr/>
                      <a:t>[CELLRANGE]</a:t>
                    </a:fld>
                    <a:r>
                      <a:rPr lang="en-US" baseline="0"/>
                      <a:t>, </a:t>
                    </a:r>
                    <a:fld id="{4413E032-65EE-41B1-8EB4-E65DF5E6F087}"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353-4995-9748-8DF7FB08D247}"/>
                </c:ext>
              </c:extLst>
            </c:dLbl>
            <c:dLbl>
              <c:idx val="6"/>
              <c:layout>
                <c:manualLayout>
                  <c:x val="-3.3718941734996611E-3"/>
                  <c:y val="-8.6741642408603728E-2"/>
                </c:manualLayout>
              </c:layout>
              <c:tx>
                <c:rich>
                  <a:bodyPr/>
                  <a:lstStyle/>
                  <a:p>
                    <a:fld id="{37EE1851-2427-4737-B5B8-650D72D1F6A8}" type="CELLRANGE">
                      <a:rPr lang="en-US" baseline="0"/>
                      <a:pPr/>
                      <a:t>[CELLRANGE]</a:t>
                    </a:fld>
                    <a:r>
                      <a:rPr lang="en-US" baseline="0"/>
                      <a:t>, </a:t>
                    </a:r>
                    <a:fld id="{3AA50CEB-03C4-4AA0-9072-BCD8E9DD1BC8}"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353-4995-9748-8DF7FB08D24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'Segment analysis'!$B$4:$B$10</c:f>
              <c:numCache>
                <c:formatCode>General</c:formatCode>
                <c:ptCount val="7"/>
                <c:pt idx="0">
                  <c:v>2.06</c:v>
                </c:pt>
                <c:pt idx="1">
                  <c:v>1.8</c:v>
                </c:pt>
                <c:pt idx="2">
                  <c:v>8.7899999999999991</c:v>
                </c:pt>
                <c:pt idx="3">
                  <c:v>1.2</c:v>
                </c:pt>
                <c:pt idx="4">
                  <c:v>1.5</c:v>
                </c:pt>
                <c:pt idx="5">
                  <c:v>3</c:v>
                </c:pt>
                <c:pt idx="6">
                  <c:v>0.9</c:v>
                </c:pt>
              </c:numCache>
            </c:numRef>
          </c:xVal>
          <c:yVal>
            <c:numRef>
              <c:f>'Segment analysis'!$D$4:$D$10</c:f>
              <c:numCache>
                <c:formatCode>0%</c:formatCode>
                <c:ptCount val="7"/>
                <c:pt idx="0">
                  <c:v>0.08</c:v>
                </c:pt>
                <c:pt idx="1">
                  <c:v>0.1</c:v>
                </c:pt>
                <c:pt idx="2">
                  <c:v>0.25</c:v>
                </c:pt>
                <c:pt idx="3">
                  <c:v>0.12</c:v>
                </c:pt>
                <c:pt idx="4">
                  <c:v>0.14000000000000001</c:v>
                </c:pt>
                <c:pt idx="5">
                  <c:v>0.09</c:v>
                </c:pt>
                <c:pt idx="6">
                  <c:v>0.16</c:v>
                </c:pt>
              </c:numCache>
            </c:numRef>
          </c:yVal>
          <c:bubbleSize>
            <c:numRef>
              <c:f>'Segment analysis'!$C$4:$C$10</c:f>
              <c:numCache>
                <c:formatCode>General</c:formatCode>
                <c:ptCount val="7"/>
                <c:pt idx="0">
                  <c:v>3.01</c:v>
                </c:pt>
                <c:pt idx="1">
                  <c:v>3.2</c:v>
                </c:pt>
                <c:pt idx="2">
                  <c:v>22</c:v>
                </c:pt>
                <c:pt idx="3">
                  <c:v>2.5</c:v>
                </c:pt>
                <c:pt idx="4">
                  <c:v>3</c:v>
                </c:pt>
                <c:pt idx="5">
                  <c:v>5</c:v>
                </c:pt>
                <c:pt idx="6">
                  <c:v>2.2000000000000002</c:v>
                </c:pt>
              </c:numCache>
            </c:numRef>
          </c:bubbleSize>
          <c:bubble3D val="0"/>
          <c:extLst>
            <c:ext xmlns:c15="http://schemas.microsoft.com/office/drawing/2012/chart" uri="{02D57815-91ED-43cb-92C2-25804820EDAC}">
              <c15:datalabelsRange>
                <c15:f>'Segment analysis'!$A$4:$A$10</c15:f>
                <c15:dlblRangeCache>
                  <c:ptCount val="7"/>
                  <c:pt idx="0">
                    <c:v>Diagnostic Imaging</c:v>
                  </c:pt>
                  <c:pt idx="1">
                    <c:v>IVD (Diagnostics)</c:v>
                  </c:pt>
                  <c:pt idx="2">
                    <c:v>Wearables / Digital Health</c:v>
                  </c:pt>
                  <c:pt idx="3">
                    <c:v>Orthopaedics</c:v>
                  </c:pt>
                  <c:pt idx="4">
                    <c:v>Cardiac Devices</c:v>
                  </c:pt>
                  <c:pt idx="5">
                    <c:v>Consumables &amp; Implants</c:v>
                  </c:pt>
                  <c:pt idx="6">
                    <c:v>Cancer Care / Radiotherapy</c:v>
                  </c:pt>
                </c15:dlblRangeCache>
              </c15:datalabelsRange>
            </c:ext>
            <c:ext xmlns:c16="http://schemas.microsoft.com/office/drawing/2014/chart" uri="{C3380CC4-5D6E-409C-BE32-E72D297353CC}">
              <c16:uniqueId val="{00000000-0353-4995-9748-8DF7FB08D247}"/>
            </c:ext>
          </c:extLst>
        </c:ser>
        <c:dLbls>
          <c:showLegendKey val="0"/>
          <c:showVal val="1"/>
          <c:showCatName val="0"/>
          <c:showSerName val="0"/>
          <c:showPercent val="0"/>
          <c:showBubbleSize val="0"/>
        </c:dLbls>
        <c:bubbleScale val="100"/>
        <c:showNegBubbles val="0"/>
        <c:axId val="687810479"/>
        <c:axId val="687821519"/>
      </c:bubbleChart>
      <c:valAx>
        <c:axId val="6878104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i="0" u="none" strike="noStrike" baseline="0"/>
                  <a:t>Market Size ($B)</a:t>
                </a:r>
                <a:endParaRPr lang="en-US" sz="11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821519"/>
        <c:crosses val="autoZero"/>
        <c:crossBetween val="midCat"/>
      </c:valAx>
      <c:valAx>
        <c:axId val="687821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CAGR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8104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India Medical Devices Trade Analysis (Exports vs Imports)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'Trade analysis'!$B$3</c:f>
              <c:strCache>
                <c:ptCount val="1"/>
                <c:pt idx="0">
                  <c:v>Exports (₹ Cr)</c:v>
                </c:pt>
              </c:strCache>
            </c:strRef>
          </c:tx>
          <c:spPr>
            <a:solidFill>
              <a:srgbClr val="63E430"/>
            </a:solidFill>
            <a:ln>
              <a:noFill/>
            </a:ln>
            <a:effectLst/>
          </c:spPr>
          <c:invertIfNegative val="0"/>
          <c:cat>
            <c:strRef>
              <c:f>'Trade analysis'!$A$4:$A$10</c:f>
              <c:strCache>
                <c:ptCount val="7"/>
                <c:pt idx="0">
                  <c:v>FY2020</c:v>
                </c:pt>
                <c:pt idx="1">
                  <c:v>FY2021</c:v>
                </c:pt>
                <c:pt idx="2">
                  <c:v>FY2022</c:v>
                </c:pt>
                <c:pt idx="3">
                  <c:v>FY2023</c:v>
                </c:pt>
                <c:pt idx="4">
                  <c:v>FY2024</c:v>
                </c:pt>
                <c:pt idx="5">
                  <c:v>FY2025</c:v>
                </c:pt>
                <c:pt idx="6">
                  <c:v>FY2030 (Target)</c:v>
                </c:pt>
              </c:strCache>
            </c:strRef>
          </c:cat>
          <c:val>
            <c:numRef>
              <c:f>'Trade analysis'!$B$4:$B$10</c:f>
              <c:numCache>
                <c:formatCode>#,##0</c:formatCode>
                <c:ptCount val="7"/>
                <c:pt idx="0">
                  <c:v>16240</c:v>
                </c:pt>
                <c:pt idx="1">
                  <c:v>17850</c:v>
                </c:pt>
                <c:pt idx="2">
                  <c:v>19803</c:v>
                </c:pt>
                <c:pt idx="3">
                  <c:v>23560</c:v>
                </c:pt>
                <c:pt idx="4">
                  <c:v>27890</c:v>
                </c:pt>
                <c:pt idx="5">
                  <c:v>31120</c:v>
                </c:pt>
                <c:pt idx="6">
                  <c:v>169000</c:v>
                </c:pt>
              </c:numCache>
            </c:numRef>
          </c:val>
          <c:extLst>
            <c:ext xmlns:c16="http://schemas.microsoft.com/office/drawing/2014/chart" uri="{C3380CC4-5D6E-409C-BE32-E72D297353CC}">
              <c16:uniqueId val="{00000000-0D8A-412E-8EDF-5BBADCBB5386}"/>
            </c:ext>
          </c:extLst>
        </c:ser>
        <c:ser>
          <c:idx val="1"/>
          <c:order val="1"/>
          <c:tx>
            <c:strRef>
              <c:f>'Trade analysis'!$C$3</c:f>
              <c:strCache>
                <c:ptCount val="1"/>
                <c:pt idx="0">
                  <c:v>Imports (₹ Cr)</c:v>
                </c:pt>
              </c:strCache>
            </c:strRef>
          </c:tx>
          <c:spPr>
            <a:solidFill>
              <a:srgbClr val="FF0000"/>
            </a:solidFill>
            <a:ln>
              <a:noFill/>
            </a:ln>
            <a:effectLst/>
          </c:spPr>
          <c:invertIfNegative val="0"/>
          <c:cat>
            <c:strRef>
              <c:f>'Trade analysis'!$A$4:$A$10</c:f>
              <c:strCache>
                <c:ptCount val="7"/>
                <c:pt idx="0">
                  <c:v>FY2020</c:v>
                </c:pt>
                <c:pt idx="1">
                  <c:v>FY2021</c:v>
                </c:pt>
                <c:pt idx="2">
                  <c:v>FY2022</c:v>
                </c:pt>
                <c:pt idx="3">
                  <c:v>FY2023</c:v>
                </c:pt>
                <c:pt idx="4">
                  <c:v>FY2024</c:v>
                </c:pt>
                <c:pt idx="5">
                  <c:v>FY2025</c:v>
                </c:pt>
                <c:pt idx="6">
                  <c:v>FY2030 (Target)</c:v>
                </c:pt>
              </c:strCache>
            </c:strRef>
          </c:cat>
          <c:val>
            <c:numRef>
              <c:f>'Trade analysis'!$C$4:$C$10</c:f>
              <c:numCache>
                <c:formatCode>#,##0</c:formatCode>
                <c:ptCount val="7"/>
                <c:pt idx="0">
                  <c:v>43500</c:v>
                </c:pt>
                <c:pt idx="1">
                  <c:v>46000</c:v>
                </c:pt>
                <c:pt idx="2">
                  <c:v>49500</c:v>
                </c:pt>
                <c:pt idx="3">
                  <c:v>52000</c:v>
                </c:pt>
                <c:pt idx="4">
                  <c:v>54500</c:v>
                </c:pt>
                <c:pt idx="5">
                  <c:v>57000</c:v>
                </c:pt>
                <c:pt idx="6">
                  <c:v>80000</c:v>
                </c:pt>
              </c:numCache>
            </c:numRef>
          </c:val>
          <c:extLst>
            <c:ext xmlns:c16="http://schemas.microsoft.com/office/drawing/2014/chart" uri="{C3380CC4-5D6E-409C-BE32-E72D297353CC}">
              <c16:uniqueId val="{00000001-0D8A-412E-8EDF-5BBADCBB5386}"/>
            </c:ext>
          </c:extLst>
        </c:ser>
        <c:dLbls>
          <c:showLegendKey val="0"/>
          <c:showVal val="0"/>
          <c:showCatName val="0"/>
          <c:showSerName val="0"/>
          <c:showPercent val="0"/>
          <c:showBubbleSize val="0"/>
        </c:dLbls>
        <c:gapWidth val="219"/>
        <c:overlap val="-27"/>
        <c:axId val="1982054111"/>
        <c:axId val="1982056031"/>
      </c:barChart>
      <c:catAx>
        <c:axId val="198205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056031"/>
        <c:crosses val="autoZero"/>
        <c:auto val="1"/>
        <c:lblAlgn val="ctr"/>
        <c:lblOffset val="100"/>
        <c:noMultiLvlLbl val="0"/>
      </c:catAx>
      <c:valAx>
        <c:axId val="1982056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054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PLI Scheme Performance Tracker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'PLI Scheme'!$B$3</c:f>
              <c:strCache>
                <c:ptCount val="1"/>
                <c:pt idx="0">
                  <c:v>Target</c:v>
                </c:pt>
              </c:strCache>
            </c:strRef>
          </c:tx>
          <c:spPr>
            <a:solidFill>
              <a:schemeClr val="accent1"/>
            </a:solidFill>
            <a:ln>
              <a:noFill/>
            </a:ln>
            <a:effectLst/>
          </c:spPr>
          <c:invertIfNegative val="0"/>
          <c:cat>
            <c:strRef>
              <c:f>'PLI Scheme'!$A$4:$A$9</c:f>
              <c:strCache>
                <c:ptCount val="6"/>
                <c:pt idx="0">
                  <c:v>Total Investment</c:v>
                </c:pt>
                <c:pt idx="1">
                  <c:v>Companies Approved</c:v>
                </c:pt>
                <c:pt idx="2">
                  <c:v>Products Commissioned</c:v>
                </c:pt>
                <c:pt idx="3">
                  <c:v>Cumulative Sales</c:v>
                </c:pt>
                <c:pt idx="4">
                  <c:v>Exports under PLI</c:v>
                </c:pt>
                <c:pt idx="5">
                  <c:v>Incentive Disbursed</c:v>
                </c:pt>
              </c:strCache>
            </c:strRef>
          </c:cat>
          <c:val>
            <c:numRef>
              <c:f>'PLI Scheme'!$B$4:$B$9</c:f>
              <c:numCache>
                <c:formatCode>General</c:formatCode>
                <c:ptCount val="6"/>
                <c:pt idx="0" formatCode="#,##0">
                  <c:v>17275</c:v>
                </c:pt>
                <c:pt idx="1">
                  <c:v>32</c:v>
                </c:pt>
                <c:pt idx="2">
                  <c:v>50</c:v>
                </c:pt>
                <c:pt idx="3" formatCode="#,##0">
                  <c:v>5000</c:v>
                </c:pt>
                <c:pt idx="4" formatCode="#,##0">
                  <c:v>3000</c:v>
                </c:pt>
                <c:pt idx="5" formatCode="#,##0">
                  <c:v>3420</c:v>
                </c:pt>
              </c:numCache>
            </c:numRef>
          </c:val>
          <c:extLst>
            <c:ext xmlns:c16="http://schemas.microsoft.com/office/drawing/2014/chart" uri="{C3380CC4-5D6E-409C-BE32-E72D297353CC}">
              <c16:uniqueId val="{00000000-AEE1-45A1-889C-569FF368B671}"/>
            </c:ext>
          </c:extLst>
        </c:ser>
        <c:ser>
          <c:idx val="1"/>
          <c:order val="1"/>
          <c:tx>
            <c:strRef>
              <c:f>'PLI Scheme'!$C$3</c:f>
              <c:strCache>
                <c:ptCount val="1"/>
                <c:pt idx="0">
                  <c:v>Achieved</c:v>
                </c:pt>
              </c:strCache>
            </c:strRef>
          </c:tx>
          <c:spPr>
            <a:solidFill>
              <a:schemeClr val="accent2"/>
            </a:solidFill>
            <a:ln>
              <a:noFill/>
            </a:ln>
            <a:effectLst/>
          </c:spPr>
          <c:invertIfNegative val="0"/>
          <c:cat>
            <c:strRef>
              <c:f>'PLI Scheme'!$A$4:$A$9</c:f>
              <c:strCache>
                <c:ptCount val="6"/>
                <c:pt idx="0">
                  <c:v>Total Investment</c:v>
                </c:pt>
                <c:pt idx="1">
                  <c:v>Companies Approved</c:v>
                </c:pt>
                <c:pt idx="2">
                  <c:v>Products Commissioned</c:v>
                </c:pt>
                <c:pt idx="3">
                  <c:v>Cumulative Sales</c:v>
                </c:pt>
                <c:pt idx="4">
                  <c:v>Exports under PLI</c:v>
                </c:pt>
                <c:pt idx="5">
                  <c:v>Incentive Disbursed</c:v>
                </c:pt>
              </c:strCache>
            </c:strRef>
          </c:cat>
          <c:val>
            <c:numRef>
              <c:f>'PLI Scheme'!$C$4:$C$9</c:f>
              <c:numCache>
                <c:formatCode>General</c:formatCode>
                <c:ptCount val="6"/>
                <c:pt idx="0" formatCode="#,##0">
                  <c:v>33534</c:v>
                </c:pt>
                <c:pt idx="1">
                  <c:v>32</c:v>
                </c:pt>
                <c:pt idx="2">
                  <c:v>57</c:v>
                </c:pt>
                <c:pt idx="3" formatCode="#,##0">
                  <c:v>8039</c:v>
                </c:pt>
                <c:pt idx="4" formatCode="#,##0">
                  <c:v>3844</c:v>
                </c:pt>
                <c:pt idx="5" formatCode="#,##0">
                  <c:v>3215</c:v>
                </c:pt>
              </c:numCache>
            </c:numRef>
          </c:val>
          <c:extLst>
            <c:ext xmlns:c16="http://schemas.microsoft.com/office/drawing/2014/chart" uri="{C3380CC4-5D6E-409C-BE32-E72D297353CC}">
              <c16:uniqueId val="{00000001-AEE1-45A1-889C-569FF368B671}"/>
            </c:ext>
          </c:extLst>
        </c:ser>
        <c:dLbls>
          <c:showLegendKey val="0"/>
          <c:showVal val="0"/>
          <c:showCatName val="0"/>
          <c:showSerName val="0"/>
          <c:showPercent val="0"/>
          <c:showBubbleSize val="0"/>
        </c:dLbls>
        <c:gapWidth val="150"/>
        <c:overlap val="100"/>
        <c:axId val="2113773743"/>
        <c:axId val="2113747823"/>
      </c:barChart>
      <c:catAx>
        <c:axId val="211377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747823"/>
        <c:crosses val="autoZero"/>
        <c:auto val="1"/>
        <c:lblAlgn val="ctr"/>
        <c:lblOffset val="100"/>
        <c:noMultiLvlLbl val="0"/>
      </c:catAx>
      <c:valAx>
        <c:axId val="21137478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773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Medical Devices Industry: MNC vs Indian Players</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Companies!$B$19</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43-4F11-AE70-147CD42B9B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43-4F11-AE70-147CD42B9B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Companies!$A$20:$A$21</c:f>
              <c:strCache>
                <c:ptCount val="2"/>
                <c:pt idx="0">
                  <c:v>MNC Companies</c:v>
                </c:pt>
                <c:pt idx="1">
                  <c:v>Indian Companies</c:v>
                </c:pt>
              </c:strCache>
            </c:strRef>
          </c:cat>
          <c:val>
            <c:numRef>
              <c:f>Companies!$B$20:$B$21</c:f>
              <c:numCache>
                <c:formatCode>General</c:formatCode>
                <c:ptCount val="2"/>
                <c:pt idx="0">
                  <c:v>7</c:v>
                </c:pt>
                <c:pt idx="1">
                  <c:v>5</c:v>
                </c:pt>
              </c:numCache>
            </c:numRef>
          </c:val>
          <c:extLst>
            <c:ext xmlns:c16="http://schemas.microsoft.com/office/drawing/2014/chart" uri="{C3380CC4-5D6E-409C-BE32-E72D297353CC}">
              <c16:uniqueId val="{00000000-C1E8-475B-8522-CCBEEF079C6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215154</xdr:colOff>
      <xdr:row>1</xdr:row>
      <xdr:rowOff>2</xdr:rowOff>
    </xdr:from>
    <xdr:to>
      <xdr:col>20</xdr:col>
      <xdr:colOff>17930</xdr:colOff>
      <xdr:row>21</xdr:row>
      <xdr:rowOff>116541</xdr:rowOff>
    </xdr:to>
    <xdr:graphicFrame macro="">
      <xdr:nvGraphicFramePr>
        <xdr:cNvPr id="2" name="Chart 1">
          <a:extLst>
            <a:ext uri="{FF2B5EF4-FFF2-40B4-BE49-F238E27FC236}">
              <a16:creationId xmlns:a16="http://schemas.microsoft.com/office/drawing/2014/main" id="{80178245-1D60-AAB6-CBB0-106DE0038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8966</xdr:colOff>
      <xdr:row>23</xdr:row>
      <xdr:rowOff>161366</xdr:rowOff>
    </xdr:from>
    <xdr:to>
      <xdr:col>5</xdr:col>
      <xdr:colOff>251011</xdr:colOff>
      <xdr:row>30</xdr:row>
      <xdr:rowOff>143436</xdr:rowOff>
    </xdr:to>
    <xdr:sp macro="" textlink="">
      <xdr:nvSpPr>
        <xdr:cNvPr id="3" name="TextBox 2">
          <a:extLst>
            <a:ext uri="{FF2B5EF4-FFF2-40B4-BE49-F238E27FC236}">
              <a16:creationId xmlns:a16="http://schemas.microsoft.com/office/drawing/2014/main" id="{024A2876-9FA1-D626-AE5D-BC22EA872731}"/>
            </a:ext>
          </a:extLst>
        </xdr:cNvPr>
        <xdr:cNvSpPr txBox="1"/>
      </xdr:nvSpPr>
      <xdr:spPr>
        <a:xfrm>
          <a:off x="8966" y="4338919"/>
          <a:ext cx="5862916" cy="1237129"/>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500" b="1"/>
            <a:t>Note</a:t>
          </a:r>
          <a:r>
            <a:rPr lang="en-US" sz="1500" b="1" baseline="0"/>
            <a:t> : </a:t>
          </a:r>
          <a:r>
            <a:rPr lang="en-US" sz="1500"/>
            <a:t>India’s medical devices market has shown strong double-digit growth driven by rising healthcare demand, government incentives under PLI, increasing domestic manufacturing, and reduced import dependence.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1300491</xdr:colOff>
      <xdr:row>13</xdr:row>
      <xdr:rowOff>23971</xdr:rowOff>
    </xdr:from>
    <xdr:to>
      <xdr:col>14</xdr:col>
      <xdr:colOff>356328</xdr:colOff>
      <xdr:row>41</xdr:row>
      <xdr:rowOff>11939</xdr:rowOff>
    </xdr:to>
    <xdr:graphicFrame macro="">
      <xdr:nvGraphicFramePr>
        <xdr:cNvPr id="2" name="Chart 1">
          <a:extLst>
            <a:ext uri="{FF2B5EF4-FFF2-40B4-BE49-F238E27FC236}">
              <a16:creationId xmlns:a16="http://schemas.microsoft.com/office/drawing/2014/main" id="{B7543810-DD39-D4C1-1045-CE922DB42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1094706</xdr:colOff>
      <xdr:row>43</xdr:row>
      <xdr:rowOff>160986</xdr:rowOff>
    </xdr:from>
    <xdr:to>
      <xdr:col>9</xdr:col>
      <xdr:colOff>504423</xdr:colOff>
      <xdr:row>48</xdr:row>
      <xdr:rowOff>32197</xdr:rowOff>
    </xdr:to>
    <xdr:sp macro="" textlink="">
      <xdr:nvSpPr>
        <xdr:cNvPr id="3" name="TextBox 2">
          <a:extLst>
            <a:ext uri="{FF2B5EF4-FFF2-40B4-BE49-F238E27FC236}">
              <a16:creationId xmlns:a16="http://schemas.microsoft.com/office/drawing/2014/main" id="{5D6404F6-0ED0-253D-6310-0A8435E94F00}"/>
            </a:ext>
          </a:extLst>
        </xdr:cNvPr>
        <xdr:cNvSpPr txBox="1"/>
      </xdr:nvSpPr>
      <xdr:spPr>
        <a:xfrm>
          <a:off x="5376931" y="8414197"/>
          <a:ext cx="5967210" cy="133081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t>Note : </a:t>
          </a:r>
          <a:r>
            <a:rPr lang="en-US" sz="1500"/>
            <a:t>Wearables and digital health represent the highest-growth opportunity in India’s medical devices sector, while cardiac and imaging segments continue to show strong import dependence, creating opportunities for domestic manufacturing expansion under the PLI scheme.</a:t>
          </a:r>
          <a:endParaRPr lang="en-US" sz="15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0</xdr:rowOff>
    </xdr:from>
    <xdr:to>
      <xdr:col>2</xdr:col>
      <xdr:colOff>914400</xdr:colOff>
      <xdr:row>17</xdr:row>
      <xdr:rowOff>121920</xdr:rowOff>
    </xdr:to>
    <xdr:sp macro="" textlink="">
      <xdr:nvSpPr>
        <xdr:cNvPr id="2" name="TextBox 1">
          <a:extLst>
            <a:ext uri="{FF2B5EF4-FFF2-40B4-BE49-F238E27FC236}">
              <a16:creationId xmlns:a16="http://schemas.microsoft.com/office/drawing/2014/main" id="{B57D46FB-6EB7-4703-AF96-80789E401E62}"/>
            </a:ext>
          </a:extLst>
        </xdr:cNvPr>
        <xdr:cNvSpPr txBox="1"/>
      </xdr:nvSpPr>
      <xdr:spPr>
        <a:xfrm>
          <a:off x="0" y="2560320"/>
          <a:ext cx="3329940" cy="670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Note : </a:t>
          </a:r>
          <a:r>
            <a:rPr lang="en-US"/>
            <a:t>India’s medical device exports would need to grow at approximately 40% CAGR between FY2025 and FY2030 to achieve the CII export target of $20B.</a:t>
          </a:r>
          <a:endParaRPr lang="en-US" sz="1100"/>
        </a:p>
      </xdr:txBody>
    </xdr:sp>
    <xdr:clientData/>
  </xdr:twoCellAnchor>
  <xdr:twoCellAnchor>
    <xdr:from>
      <xdr:col>7</xdr:col>
      <xdr:colOff>0</xdr:colOff>
      <xdr:row>2</xdr:row>
      <xdr:rowOff>0</xdr:rowOff>
    </xdr:from>
    <xdr:to>
      <xdr:col>18</xdr:col>
      <xdr:colOff>7620</xdr:colOff>
      <xdr:row>21</xdr:row>
      <xdr:rowOff>68580</xdr:rowOff>
    </xdr:to>
    <xdr:graphicFrame macro="">
      <xdr:nvGraphicFramePr>
        <xdr:cNvPr id="3" name="Chart 2">
          <a:extLst>
            <a:ext uri="{FF2B5EF4-FFF2-40B4-BE49-F238E27FC236}">
              <a16:creationId xmlns:a16="http://schemas.microsoft.com/office/drawing/2014/main" id="{5AB7DB5C-AD89-1308-4C00-9E063D889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563880</xdr:colOff>
      <xdr:row>23</xdr:row>
      <xdr:rowOff>22860</xdr:rowOff>
    </xdr:from>
    <xdr:to>
      <xdr:col>11</xdr:col>
      <xdr:colOff>464820</xdr:colOff>
      <xdr:row>26</xdr:row>
      <xdr:rowOff>167640</xdr:rowOff>
    </xdr:to>
    <xdr:sp macro="" textlink="">
      <xdr:nvSpPr>
        <xdr:cNvPr id="4" name="TextBox 3">
          <a:extLst>
            <a:ext uri="{FF2B5EF4-FFF2-40B4-BE49-F238E27FC236}">
              <a16:creationId xmlns:a16="http://schemas.microsoft.com/office/drawing/2014/main" id="{4B0FD223-3FF5-9338-BFB0-81ABE71C8DD9}"/>
            </a:ext>
          </a:extLst>
        </xdr:cNvPr>
        <xdr:cNvSpPr txBox="1"/>
      </xdr:nvSpPr>
      <xdr:spPr>
        <a:xfrm>
          <a:off x="2979420" y="4274820"/>
          <a:ext cx="6979920" cy="69342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US" sz="1200"/>
            <a:t>India continues to remain import dependent in high-end medical devices, but export growth has accelerated significantly due to increased domestic manufacturing, PLI incentives, and rising global demand for cost-effective healthcare products.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15240</xdr:colOff>
      <xdr:row>1</xdr:row>
      <xdr:rowOff>167640</xdr:rowOff>
    </xdr:from>
    <xdr:to>
      <xdr:col>18</xdr:col>
      <xdr:colOff>601980</xdr:colOff>
      <xdr:row>18</xdr:row>
      <xdr:rowOff>30480</xdr:rowOff>
    </xdr:to>
    <xdr:graphicFrame macro="">
      <xdr:nvGraphicFramePr>
        <xdr:cNvPr id="2" name="Chart 1">
          <a:extLst>
            <a:ext uri="{FF2B5EF4-FFF2-40B4-BE49-F238E27FC236}">
              <a16:creationId xmlns:a16="http://schemas.microsoft.com/office/drawing/2014/main" id="{7E2AD512-035E-CA9B-970E-4EE5C38E5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12</xdr:row>
      <xdr:rowOff>175260</xdr:rowOff>
    </xdr:from>
    <xdr:to>
      <xdr:col>4</xdr:col>
      <xdr:colOff>0</xdr:colOff>
      <xdr:row>16</xdr:row>
      <xdr:rowOff>175260</xdr:rowOff>
    </xdr:to>
    <xdr:sp macro="" textlink="">
      <xdr:nvSpPr>
        <xdr:cNvPr id="3" name="TextBox 2">
          <a:extLst>
            <a:ext uri="{FF2B5EF4-FFF2-40B4-BE49-F238E27FC236}">
              <a16:creationId xmlns:a16="http://schemas.microsoft.com/office/drawing/2014/main" id="{71256FF9-2731-2F77-C599-5801DA3347D2}"/>
            </a:ext>
          </a:extLst>
        </xdr:cNvPr>
        <xdr:cNvSpPr txBox="1"/>
      </xdr:nvSpPr>
      <xdr:spPr>
        <a:xfrm>
          <a:off x="22860" y="2385060"/>
          <a:ext cx="4000500" cy="73152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Note : </a:t>
          </a:r>
          <a:r>
            <a:rPr lang="en-US" sz="1100"/>
            <a:t>Key finding — PLI investment surpassed original target by 94%, indicating strong private sector confidence in India’s medical device manufacturing ecosystem.</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15240</xdr:colOff>
      <xdr:row>2</xdr:row>
      <xdr:rowOff>148590</xdr:rowOff>
    </xdr:from>
    <xdr:to>
      <xdr:col>14</xdr:col>
      <xdr:colOff>320040</xdr:colOff>
      <xdr:row>13</xdr:row>
      <xdr:rowOff>148590</xdr:rowOff>
    </xdr:to>
    <xdr:graphicFrame macro="">
      <xdr:nvGraphicFramePr>
        <xdr:cNvPr id="2" name="Chart 1">
          <a:extLst>
            <a:ext uri="{FF2B5EF4-FFF2-40B4-BE49-F238E27FC236}">
              <a16:creationId xmlns:a16="http://schemas.microsoft.com/office/drawing/2014/main" id="{EB7C776A-47FD-A525-D84C-E0146CE8C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1051560</xdr:colOff>
      <xdr:row>18</xdr:row>
      <xdr:rowOff>0</xdr:rowOff>
    </xdr:from>
    <xdr:to>
      <xdr:col>7</xdr:col>
      <xdr:colOff>297180</xdr:colOff>
      <xdr:row>22</xdr:row>
      <xdr:rowOff>7620</xdr:rowOff>
    </xdr:to>
    <xdr:sp macro="" textlink="">
      <xdr:nvSpPr>
        <xdr:cNvPr id="3" name="TextBox 2">
          <a:extLst>
            <a:ext uri="{FF2B5EF4-FFF2-40B4-BE49-F238E27FC236}">
              <a16:creationId xmlns:a16="http://schemas.microsoft.com/office/drawing/2014/main" id="{C778198D-4B43-F53F-FB43-331538BE58DB}"/>
            </a:ext>
          </a:extLst>
        </xdr:cNvPr>
        <xdr:cNvSpPr txBox="1"/>
      </xdr:nvSpPr>
      <xdr:spPr>
        <a:xfrm>
          <a:off x="3451860" y="4259580"/>
          <a:ext cx="6423660" cy="7391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Note</a:t>
          </a:r>
          <a:r>
            <a:rPr lang="en-US" sz="1100" b="1" baseline="0"/>
            <a:t> : </a:t>
          </a:r>
          <a:r>
            <a:rPr lang="en-US" sz="1100"/>
            <a:t>The Indian medical devices market continues to be dominated by multinational corporations in high-end imaging, cardiac, and diagnostic equipment, while Indian manufacturers are rapidly expanding in consumables, diagnostics, and cancer care under government-led localization initiatives.</a:t>
          </a:r>
          <a:endParaRPr lang="en-US" sz="11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16</xdr:row>
      <xdr:rowOff>167640</xdr:rowOff>
    </xdr:from>
    <xdr:to>
      <xdr:col>5</xdr:col>
      <xdr:colOff>15240</xdr:colOff>
      <xdr:row>21</xdr:row>
      <xdr:rowOff>7620</xdr:rowOff>
    </xdr:to>
    <xdr:sp macro="" textlink="">
      <xdr:nvSpPr>
        <xdr:cNvPr id="2" name="TextBox 1">
          <a:extLst>
            <a:ext uri="{FF2B5EF4-FFF2-40B4-BE49-F238E27FC236}">
              <a16:creationId xmlns:a16="http://schemas.microsoft.com/office/drawing/2014/main" id="{99B0443C-07D0-5D98-F752-4134BB94A333}"/>
            </a:ext>
          </a:extLst>
        </xdr:cNvPr>
        <xdr:cNvSpPr txBox="1"/>
      </xdr:nvSpPr>
      <xdr:spPr>
        <a:xfrm>
          <a:off x="2164080" y="3474720"/>
          <a:ext cx="9563100" cy="75438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t>Note : </a:t>
          </a:r>
          <a:r>
            <a:rPr lang="en-US" sz="1100"/>
            <a:t>All data used in this project was collected from publicly available government portals, industry reports, and market intelligence sources. Estimates and projections are based on published industry trends and analyst calculations.</a:t>
          </a:r>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8" Type="http://schemas.openxmlformats.org/officeDocument/2006/relationships/hyperlink" Target="https://prsindia.org/" TargetMode="External"/><Relationship Id="rId3" Type="http://schemas.openxmlformats.org/officeDocument/2006/relationships/hyperlink" Target="https://pib.gov.in/" TargetMode="External"/><Relationship Id="rId7" Type="http://schemas.openxmlformats.org/officeDocument/2006/relationships/hyperlink" Target="https://www.fortunebusinessinsights.com/" TargetMode="External"/><Relationship Id="rId2" Type="http://schemas.openxmlformats.org/officeDocument/2006/relationships/hyperlink" Target="https://www.ibef.org/industry/medical-devices-presentation" TargetMode="External"/><Relationship Id="rId1" Type="http://schemas.openxmlformats.org/officeDocument/2006/relationships/hyperlink" Target="https://www.ibef.org/industry/medical-devices" TargetMode="External"/><Relationship Id="rId6" Type="http://schemas.openxmlformats.org/officeDocument/2006/relationships/hyperlink" Target="https://www.imarcgroup.com/" TargetMode="External"/><Relationship Id="rId11" Type="http://schemas.openxmlformats.org/officeDocument/2006/relationships/drawing" Target="../drawings/drawing6.xml"/><Relationship Id="rId5" Type="http://schemas.openxmlformats.org/officeDocument/2006/relationships/hyperlink" Target="https://www.india-briefing.com/" TargetMode="External"/><Relationship Id="rId10" Type="http://schemas.openxmlformats.org/officeDocument/2006/relationships/hyperlink" Target="https://pharmaceuticals.gov.in/" TargetMode="External"/><Relationship Id="rId4" Type="http://schemas.openxmlformats.org/officeDocument/2006/relationships/hyperlink" Target="https://www.investindia.gov.in/" TargetMode="External"/><Relationship Id="rId9" Type="http://schemas.openxmlformats.org/officeDocument/2006/relationships/hyperlink" Target="https://www.cii.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E909-B904-4CDA-81BE-454082AF19AB}">
  <dimension ref="A1:F15"/>
  <sheetViews>
    <sheetView tabSelected="1" zoomScale="85" workbookViewId="0">
      <selection activeCell="C20" sqref="C20"/>
    </sheetView>
  </sheetViews>
  <sheetFormatPr defaultRowHeight="14.4" x14ac:dyDescent="0.3"/>
  <cols>
    <col min="1" max="1" width="21.88671875" style="11" customWidth="1"/>
    <col min="2" max="2" width="18" style="10" customWidth="1"/>
    <col min="3" max="3" width="16.109375" style="11" customWidth="1"/>
    <col min="4" max="4" width="14.109375" style="12" customWidth="1"/>
    <col min="5" max="5" width="11.88671875" style="12" customWidth="1"/>
    <col min="6" max="6" width="31.21875" style="11" customWidth="1"/>
    <col min="7" max="16384" width="8.88671875" style="11"/>
  </cols>
  <sheetData>
    <row r="1" spans="1:6" ht="18" x14ac:dyDescent="0.35">
      <c r="A1" s="29" t="s">
        <v>0</v>
      </c>
      <c r="B1" s="30"/>
      <c r="C1" s="30"/>
      <c r="D1" s="30"/>
      <c r="E1" s="30"/>
      <c r="F1" s="30"/>
    </row>
    <row r="2" spans="1:6" x14ac:dyDescent="0.3">
      <c r="A2" s="1"/>
      <c r="B2" s="2"/>
      <c r="C2" s="1"/>
      <c r="D2" s="3"/>
      <c r="E2" s="3"/>
      <c r="F2" s="1"/>
    </row>
    <row r="3" spans="1:6" x14ac:dyDescent="0.3">
      <c r="A3" s="4" t="s">
        <v>1</v>
      </c>
      <c r="B3" s="5" t="s">
        <v>16</v>
      </c>
      <c r="C3" s="4" t="s">
        <v>2</v>
      </c>
      <c r="D3" s="6" t="s">
        <v>4</v>
      </c>
      <c r="E3" s="6" t="s">
        <v>3</v>
      </c>
      <c r="F3" s="4" t="s">
        <v>5</v>
      </c>
    </row>
    <row r="4" spans="1:6" x14ac:dyDescent="0.3">
      <c r="A4" s="1" t="s">
        <v>6</v>
      </c>
      <c r="B4" s="7">
        <v>7</v>
      </c>
      <c r="C4" s="8" t="s">
        <v>15</v>
      </c>
      <c r="D4" s="3">
        <v>0.1</v>
      </c>
      <c r="E4" s="3">
        <v>0.9</v>
      </c>
      <c r="F4" s="9" t="s">
        <v>17</v>
      </c>
    </row>
    <row r="5" spans="1:6" x14ac:dyDescent="0.3">
      <c r="A5" s="1" t="s">
        <v>7</v>
      </c>
      <c r="B5" s="7">
        <v>8</v>
      </c>
      <c r="C5" s="1">
        <f>((B5-B4)/B4)*100</f>
        <v>14.285714285714285</v>
      </c>
      <c r="D5" s="3">
        <v>0.12</v>
      </c>
      <c r="E5" s="3">
        <v>0.85</v>
      </c>
      <c r="F5" s="9" t="s">
        <v>17</v>
      </c>
    </row>
    <row r="6" spans="1:6" x14ac:dyDescent="0.3">
      <c r="A6" s="1" t="s">
        <v>8</v>
      </c>
      <c r="B6" s="7">
        <v>9.4</v>
      </c>
      <c r="C6" s="1">
        <f t="shared" ref="C6:C11" si="0">((B6-B5)/B5)*100</f>
        <v>17.500000000000004</v>
      </c>
      <c r="D6" s="3">
        <v>0.15</v>
      </c>
      <c r="E6" s="3">
        <v>0.82</v>
      </c>
      <c r="F6" s="9" t="s">
        <v>18</v>
      </c>
    </row>
    <row r="7" spans="1:6" x14ac:dyDescent="0.3">
      <c r="A7" s="1" t="s">
        <v>9</v>
      </c>
      <c r="B7" s="7">
        <v>11</v>
      </c>
      <c r="C7" s="1">
        <f t="shared" si="0"/>
        <v>17.021276595744677</v>
      </c>
      <c r="D7" s="3">
        <v>0.18</v>
      </c>
      <c r="E7" s="3">
        <v>0.8</v>
      </c>
      <c r="F7" s="9" t="s">
        <v>17</v>
      </c>
    </row>
    <row r="8" spans="1:6" x14ac:dyDescent="0.3">
      <c r="A8" s="1" t="s">
        <v>10</v>
      </c>
      <c r="B8" s="7">
        <v>13</v>
      </c>
      <c r="C8" s="1">
        <f t="shared" si="0"/>
        <v>18.181818181818183</v>
      </c>
      <c r="D8" s="3">
        <v>0.24</v>
      </c>
      <c r="E8" s="3">
        <v>0.75</v>
      </c>
      <c r="F8" s="9" t="s">
        <v>19</v>
      </c>
    </row>
    <row r="9" spans="1:6" x14ac:dyDescent="0.3">
      <c r="A9" s="1" t="s">
        <v>11</v>
      </c>
      <c r="B9" s="7">
        <v>15.9</v>
      </c>
      <c r="C9" s="1">
        <f t="shared" si="0"/>
        <v>22.30769230769231</v>
      </c>
      <c r="D9" s="3">
        <v>0.3</v>
      </c>
      <c r="E9" s="3">
        <v>0.7</v>
      </c>
      <c r="F9" s="9" t="s">
        <v>17</v>
      </c>
    </row>
    <row r="10" spans="1:6" x14ac:dyDescent="0.3">
      <c r="A10" s="1" t="s">
        <v>12</v>
      </c>
      <c r="B10" s="7">
        <v>18</v>
      </c>
      <c r="C10" s="1">
        <f t="shared" si="0"/>
        <v>13.207547169811317</v>
      </c>
      <c r="D10" s="3">
        <v>0.33</v>
      </c>
      <c r="E10" s="3">
        <v>0.67</v>
      </c>
      <c r="F10" s="9" t="s">
        <v>20</v>
      </c>
    </row>
    <row r="11" spans="1:6" x14ac:dyDescent="0.3">
      <c r="A11" s="1" t="s">
        <v>13</v>
      </c>
      <c r="B11" s="7">
        <v>20.7</v>
      </c>
      <c r="C11" s="1">
        <f t="shared" si="0"/>
        <v>14.999999999999996</v>
      </c>
      <c r="D11" s="3">
        <v>0.36</v>
      </c>
      <c r="E11" s="3">
        <v>0.64</v>
      </c>
      <c r="F11" s="9" t="s">
        <v>21</v>
      </c>
    </row>
    <row r="12" spans="1:6" x14ac:dyDescent="0.3">
      <c r="A12" s="13" t="s">
        <v>14</v>
      </c>
      <c r="B12" s="14">
        <v>50</v>
      </c>
      <c r="C12" s="13" t="s">
        <v>15</v>
      </c>
      <c r="D12" s="15">
        <v>0.5</v>
      </c>
      <c r="E12" s="15">
        <v>0.5</v>
      </c>
      <c r="F12" s="13" t="s">
        <v>22</v>
      </c>
    </row>
    <row r="13" spans="1:6" x14ac:dyDescent="0.3">
      <c r="A13" s="1"/>
      <c r="B13" s="2"/>
      <c r="C13" s="1"/>
      <c r="D13" s="3"/>
      <c r="E13" s="3"/>
      <c r="F13" s="1"/>
    </row>
    <row r="14" spans="1:6" x14ac:dyDescent="0.3">
      <c r="A14" s="13" t="s">
        <v>23</v>
      </c>
      <c r="B14" s="45" t="s">
        <v>24</v>
      </c>
      <c r="C14" s="13">
        <f>((B12/B4)^(1/(2030-2019))-1)*100</f>
        <v>19.570686866353526</v>
      </c>
      <c r="D14" s="3"/>
      <c r="E14" s="3"/>
      <c r="F14" s="1"/>
    </row>
    <row r="15" spans="1:6" x14ac:dyDescent="0.3">
      <c r="A15" s="1"/>
      <c r="B15" s="2"/>
      <c r="C15" s="1"/>
      <c r="D15" s="3"/>
      <c r="E15" s="3"/>
      <c r="F15" s="1"/>
    </row>
  </sheetData>
  <mergeCells count="1">
    <mergeCell ref="A1:F1"/>
  </mergeCells>
  <conditionalFormatting sqref="C5:C11">
    <cfRule type="cellIs" dxfId="6" priority="2" operator="greaterThan">
      <formula>20</formula>
    </cfRule>
  </conditionalFormatting>
  <conditionalFormatting sqref="C5:C12">
    <cfRule type="cellIs" dxfId="5" priority="1" operator="between">
      <formula>10</formula>
      <formula>20</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FCFC2-C554-4527-BA05-456A6A646F1B}">
  <dimension ref="A1:H48"/>
  <sheetViews>
    <sheetView topLeftCell="A14" zoomScale="89" workbookViewId="0">
      <selection activeCell="B18" sqref="B18"/>
    </sheetView>
  </sheetViews>
  <sheetFormatPr defaultRowHeight="14.4" x14ac:dyDescent="0.3"/>
  <cols>
    <col min="1" max="1" width="23.77734375" customWidth="1"/>
    <col min="2" max="2" width="19" customWidth="1"/>
    <col min="3" max="3" width="19.6640625" customWidth="1"/>
    <col min="4" max="4" width="16.33203125" customWidth="1"/>
    <col min="5" max="5" width="20.44140625" customWidth="1"/>
    <col min="6" max="6" width="9.88671875" style="16" customWidth="1"/>
    <col min="7" max="7" width="21.33203125" customWidth="1"/>
    <col min="8" max="8" width="18.77734375" customWidth="1"/>
  </cols>
  <sheetData>
    <row r="1" spans="1:8" ht="18" x14ac:dyDescent="0.35">
      <c r="A1" s="29" t="s">
        <v>48</v>
      </c>
      <c r="B1" s="31"/>
      <c r="C1" s="31"/>
      <c r="D1" s="31"/>
      <c r="E1" s="31"/>
      <c r="F1" s="31"/>
      <c r="G1" s="31"/>
      <c r="H1" s="31"/>
    </row>
    <row r="2" spans="1:8" x14ac:dyDescent="0.3">
      <c r="A2" s="9"/>
      <c r="B2" s="9"/>
      <c r="C2" s="9"/>
      <c r="D2" s="9"/>
      <c r="E2" s="9"/>
      <c r="F2" s="20"/>
      <c r="G2" s="9"/>
      <c r="H2" s="9"/>
    </row>
    <row r="3" spans="1:8" ht="28.8" x14ac:dyDescent="0.3">
      <c r="A3" s="17" t="s">
        <v>25</v>
      </c>
      <c r="B3" s="17" t="s">
        <v>26</v>
      </c>
      <c r="C3" s="17" t="s">
        <v>27</v>
      </c>
      <c r="D3" s="17" t="s">
        <v>28</v>
      </c>
      <c r="E3" s="17" t="s">
        <v>29</v>
      </c>
      <c r="F3" s="17" t="s">
        <v>30</v>
      </c>
      <c r="G3" s="17" t="s">
        <v>31</v>
      </c>
      <c r="H3" s="17" t="s">
        <v>32</v>
      </c>
    </row>
    <row r="4" spans="1:8" ht="28.8" x14ac:dyDescent="0.3">
      <c r="A4" s="18" t="s">
        <v>33</v>
      </c>
      <c r="B4" s="18">
        <v>2.06</v>
      </c>
      <c r="C4" s="18">
        <v>3.01</v>
      </c>
      <c r="D4" s="19">
        <v>0.08</v>
      </c>
      <c r="E4" s="19">
        <v>0.75</v>
      </c>
      <c r="F4" s="21" t="s">
        <v>34</v>
      </c>
      <c r="G4" s="18" t="s">
        <v>35</v>
      </c>
      <c r="H4" s="18">
        <f>(B4*D4)*100</f>
        <v>16.48</v>
      </c>
    </row>
    <row r="5" spans="1:8" x14ac:dyDescent="0.3">
      <c r="A5" s="18" t="s">
        <v>36</v>
      </c>
      <c r="B5" s="18">
        <v>1.8</v>
      </c>
      <c r="C5" s="18">
        <v>3.2</v>
      </c>
      <c r="D5" s="19">
        <v>0.1</v>
      </c>
      <c r="E5" s="19">
        <v>0.5</v>
      </c>
      <c r="F5" s="21" t="s">
        <v>34</v>
      </c>
      <c r="G5" s="18" t="s">
        <v>37</v>
      </c>
      <c r="H5" s="18">
        <f t="shared" ref="H5:H10" si="0">(B5*D5)*100</f>
        <v>18.000000000000004</v>
      </c>
    </row>
    <row r="6" spans="1:8" x14ac:dyDescent="0.3">
      <c r="A6" s="18" t="s">
        <v>38</v>
      </c>
      <c r="B6" s="18">
        <v>8.7899999999999991</v>
      </c>
      <c r="C6" s="18">
        <v>22</v>
      </c>
      <c r="D6" s="19">
        <v>0.25</v>
      </c>
      <c r="E6" s="19">
        <v>0.4</v>
      </c>
      <c r="F6" s="21" t="s">
        <v>39</v>
      </c>
      <c r="G6" s="18" t="s">
        <v>47</v>
      </c>
      <c r="H6" s="18">
        <f t="shared" si="0"/>
        <v>219.74999999999997</v>
      </c>
    </row>
    <row r="7" spans="1:8" x14ac:dyDescent="0.3">
      <c r="A7" s="18" t="s">
        <v>40</v>
      </c>
      <c r="B7" s="18">
        <v>1.2</v>
      </c>
      <c r="C7" s="18">
        <v>2.5</v>
      </c>
      <c r="D7" s="19">
        <v>0.12</v>
      </c>
      <c r="E7" s="19">
        <v>0.65</v>
      </c>
      <c r="F7" s="21" t="s">
        <v>34</v>
      </c>
      <c r="G7" s="18" t="s">
        <v>41</v>
      </c>
      <c r="H7" s="18">
        <f t="shared" si="0"/>
        <v>14.399999999999999</v>
      </c>
    </row>
    <row r="8" spans="1:8" x14ac:dyDescent="0.3">
      <c r="A8" s="18" t="s">
        <v>42</v>
      </c>
      <c r="B8" s="18">
        <v>1.5</v>
      </c>
      <c r="C8" s="18">
        <v>3</v>
      </c>
      <c r="D8" s="19">
        <v>0.14000000000000001</v>
      </c>
      <c r="E8" s="19">
        <v>0.85</v>
      </c>
      <c r="F8" s="21" t="s">
        <v>34</v>
      </c>
      <c r="G8" s="18" t="s">
        <v>43</v>
      </c>
      <c r="H8" s="18">
        <f t="shared" si="0"/>
        <v>21.000000000000004</v>
      </c>
    </row>
    <row r="9" spans="1:8" x14ac:dyDescent="0.3">
      <c r="A9" s="18" t="s">
        <v>44</v>
      </c>
      <c r="B9" s="18">
        <v>3</v>
      </c>
      <c r="C9" s="18">
        <v>5</v>
      </c>
      <c r="D9" s="19">
        <v>0.09</v>
      </c>
      <c r="E9" s="19">
        <v>0.35</v>
      </c>
      <c r="F9" s="21" t="s">
        <v>34</v>
      </c>
      <c r="G9" s="18" t="s">
        <v>45</v>
      </c>
      <c r="H9" s="18">
        <f t="shared" si="0"/>
        <v>27</v>
      </c>
    </row>
    <row r="10" spans="1:8" x14ac:dyDescent="0.3">
      <c r="A10" s="18" t="s">
        <v>46</v>
      </c>
      <c r="B10" s="18">
        <v>0.9</v>
      </c>
      <c r="C10" s="18">
        <v>2.2000000000000002</v>
      </c>
      <c r="D10" s="19">
        <v>0.16</v>
      </c>
      <c r="E10" s="19">
        <v>0.7</v>
      </c>
      <c r="F10" s="21" t="s">
        <v>34</v>
      </c>
      <c r="G10" s="18" t="s">
        <v>45</v>
      </c>
      <c r="H10" s="18">
        <f t="shared" si="0"/>
        <v>14.400000000000002</v>
      </c>
    </row>
    <row r="11" spans="1:8" x14ac:dyDescent="0.3">
      <c r="A11" s="9"/>
      <c r="B11" s="9"/>
      <c r="C11" s="9"/>
      <c r="D11" s="9"/>
      <c r="E11" s="9"/>
      <c r="F11" s="20"/>
      <c r="G11" s="9"/>
      <c r="H11" s="9"/>
    </row>
    <row r="45" spans="1:3" x14ac:dyDescent="0.3">
      <c r="A45" s="17" t="s">
        <v>49</v>
      </c>
      <c r="B45" s="17" t="s">
        <v>25</v>
      </c>
      <c r="C45" s="17" t="s">
        <v>50</v>
      </c>
    </row>
    <row r="46" spans="1:3" ht="28.8" x14ac:dyDescent="0.3">
      <c r="A46" s="21">
        <v>1</v>
      </c>
      <c r="B46" s="18" t="s">
        <v>51</v>
      </c>
      <c r="C46" s="18" t="s">
        <v>52</v>
      </c>
    </row>
    <row r="47" spans="1:3" ht="28.8" x14ac:dyDescent="0.3">
      <c r="A47" s="21">
        <v>2</v>
      </c>
      <c r="B47" s="18" t="s">
        <v>53</v>
      </c>
      <c r="C47" s="18" t="s">
        <v>54</v>
      </c>
    </row>
    <row r="48" spans="1:3" ht="28.8" x14ac:dyDescent="0.3">
      <c r="A48" s="21">
        <v>3</v>
      </c>
      <c r="B48" s="18" t="s">
        <v>55</v>
      </c>
      <c r="C48" s="18" t="s">
        <v>56</v>
      </c>
    </row>
  </sheetData>
  <mergeCells count="1">
    <mergeCell ref="A1:H1"/>
  </mergeCells>
  <conditionalFormatting sqref="H4:H10">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F5D73-1FDF-4B82-A34B-5D5B3AD781A5}">
  <dimension ref="A1:E13"/>
  <sheetViews>
    <sheetView topLeftCell="A2" zoomScale="97" workbookViewId="0">
      <selection activeCell="D18" sqref="D18"/>
    </sheetView>
  </sheetViews>
  <sheetFormatPr defaultRowHeight="14.4" x14ac:dyDescent="0.3"/>
  <cols>
    <col min="1" max="1" width="22.109375" customWidth="1"/>
    <col min="2" max="2" width="13.109375" customWidth="1"/>
    <col min="3" max="3" width="13.44140625" customWidth="1"/>
    <col min="4" max="4" width="19.44140625" customWidth="1"/>
    <col min="5" max="5" width="17" customWidth="1"/>
  </cols>
  <sheetData>
    <row r="1" spans="1:5" ht="18" x14ac:dyDescent="0.35">
      <c r="A1" s="29" t="s">
        <v>63</v>
      </c>
      <c r="B1" s="32"/>
      <c r="C1" s="32"/>
      <c r="D1" s="32"/>
      <c r="E1" s="32"/>
    </row>
    <row r="2" spans="1:5" x14ac:dyDescent="0.3">
      <c r="A2" s="9"/>
      <c r="B2" s="9"/>
      <c r="C2" s="9"/>
      <c r="D2" s="9"/>
      <c r="E2" s="9"/>
    </row>
    <row r="3" spans="1:5" x14ac:dyDescent="0.3">
      <c r="A3" s="17" t="s">
        <v>1</v>
      </c>
      <c r="B3" s="17" t="s">
        <v>57</v>
      </c>
      <c r="C3" s="17" t="s">
        <v>58</v>
      </c>
      <c r="D3" s="17" t="s">
        <v>59</v>
      </c>
      <c r="E3" s="17" t="s">
        <v>60</v>
      </c>
    </row>
    <row r="4" spans="1:5" x14ac:dyDescent="0.3">
      <c r="A4" s="18" t="s">
        <v>7</v>
      </c>
      <c r="B4" s="22">
        <v>16240</v>
      </c>
      <c r="C4" s="23">
        <v>43500</v>
      </c>
      <c r="D4" s="23">
        <f>C4-B4</f>
        <v>27260</v>
      </c>
      <c r="E4" s="18" t="s">
        <v>15</v>
      </c>
    </row>
    <row r="5" spans="1:5" x14ac:dyDescent="0.3">
      <c r="A5" s="18" t="s">
        <v>8</v>
      </c>
      <c r="B5" s="22">
        <v>17850</v>
      </c>
      <c r="C5" s="23">
        <v>46000</v>
      </c>
      <c r="D5" s="23">
        <f t="shared" ref="D5:D10" si="0">C5-B5</f>
        <v>28150</v>
      </c>
      <c r="E5" s="24">
        <f>(B5-B4)/B4</f>
        <v>9.9137931034482762E-2</v>
      </c>
    </row>
    <row r="6" spans="1:5" x14ac:dyDescent="0.3">
      <c r="A6" s="18" t="s">
        <v>9</v>
      </c>
      <c r="B6" s="22">
        <v>19803</v>
      </c>
      <c r="C6" s="23">
        <v>49500</v>
      </c>
      <c r="D6" s="23">
        <f t="shared" si="0"/>
        <v>29697</v>
      </c>
      <c r="E6" s="24">
        <f t="shared" ref="E6:E9" si="1">(B6-B5)/B5</f>
        <v>0.10941176470588235</v>
      </c>
    </row>
    <row r="7" spans="1:5" x14ac:dyDescent="0.3">
      <c r="A7" s="18" t="s">
        <v>10</v>
      </c>
      <c r="B7" s="22">
        <v>23560</v>
      </c>
      <c r="C7" s="23">
        <v>52000</v>
      </c>
      <c r="D7" s="23">
        <f t="shared" si="0"/>
        <v>28440</v>
      </c>
      <c r="E7" s="24">
        <f t="shared" si="1"/>
        <v>0.1897187294854315</v>
      </c>
    </row>
    <row r="8" spans="1:5" x14ac:dyDescent="0.3">
      <c r="A8" s="18" t="s">
        <v>11</v>
      </c>
      <c r="B8" s="22">
        <v>27890</v>
      </c>
      <c r="C8" s="23">
        <v>54500</v>
      </c>
      <c r="D8" s="23">
        <f t="shared" si="0"/>
        <v>26610</v>
      </c>
      <c r="E8" s="24">
        <f t="shared" si="1"/>
        <v>0.183786078098472</v>
      </c>
    </row>
    <row r="9" spans="1:5" x14ac:dyDescent="0.3">
      <c r="A9" s="18" t="s">
        <v>12</v>
      </c>
      <c r="B9" s="22">
        <v>31120</v>
      </c>
      <c r="C9" s="23">
        <v>57000</v>
      </c>
      <c r="D9" s="23">
        <f t="shared" si="0"/>
        <v>25880</v>
      </c>
      <c r="E9" s="24">
        <f t="shared" si="1"/>
        <v>0.1158121190390821</v>
      </c>
    </row>
    <row r="10" spans="1:5" x14ac:dyDescent="0.3">
      <c r="A10" s="18" t="s">
        <v>61</v>
      </c>
      <c r="B10" s="22">
        <v>169000</v>
      </c>
      <c r="C10" s="23">
        <v>80000</v>
      </c>
      <c r="D10" s="23">
        <f t="shared" si="0"/>
        <v>-89000</v>
      </c>
      <c r="E10" s="18" t="s">
        <v>15</v>
      </c>
    </row>
    <row r="11" spans="1:5" x14ac:dyDescent="0.3">
      <c r="A11" s="9"/>
      <c r="B11" s="9"/>
      <c r="C11" s="9"/>
      <c r="D11" s="9"/>
      <c r="E11" s="9"/>
    </row>
    <row r="12" spans="1:5" x14ac:dyDescent="0.3">
      <c r="A12" s="9"/>
      <c r="B12" s="9"/>
      <c r="C12" s="9"/>
      <c r="D12" s="9"/>
      <c r="E12" s="9"/>
    </row>
    <row r="13" spans="1:5" x14ac:dyDescent="0.3">
      <c r="A13" s="33" t="s">
        <v>62</v>
      </c>
      <c r="B13" s="34"/>
      <c r="C13" s="13">
        <f>((169000/31120)^(1/5)-1)*100</f>
        <v>40.271494217173128</v>
      </c>
      <c r="D13" s="9"/>
      <c r="E13" s="9"/>
    </row>
  </sheetData>
  <mergeCells count="2">
    <mergeCell ref="A1:E1"/>
    <mergeCell ref="A13:B13"/>
  </mergeCells>
  <conditionalFormatting sqref="E5:E9">
    <cfRule type="cellIs" dxfId="4" priority="1" operator="lessThan">
      <formula>0.1</formula>
    </cfRule>
    <cfRule type="cellIs" dxfId="3" priority="2" operator="greaterThan">
      <formula>0.15</formula>
    </cfRule>
    <cfRule type="cellIs" dxfId="2" priority="3" operator="between">
      <formula>0.1</formula>
      <formula>0.15</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023D0-E0B9-4681-84DF-DEA1FF29BC40}">
  <dimension ref="A1:E10"/>
  <sheetViews>
    <sheetView workbookViewId="0">
      <pane ySplit="1" topLeftCell="A2" activePane="bottomLeft" state="frozen"/>
      <selection pane="bottomLeft" activeCell="F22" sqref="F22"/>
    </sheetView>
  </sheetViews>
  <sheetFormatPr defaultRowHeight="14.4" x14ac:dyDescent="0.3"/>
  <cols>
    <col min="1" max="1" width="21.6640625" customWidth="1"/>
    <col min="2" max="2" width="11.88671875" customWidth="1"/>
    <col min="3" max="3" width="10.109375" customWidth="1"/>
    <col min="4" max="4" width="15" customWidth="1"/>
    <col min="5" max="5" width="12.6640625" customWidth="1"/>
  </cols>
  <sheetData>
    <row r="1" spans="1:5" ht="15.6" x14ac:dyDescent="0.3">
      <c r="A1" s="35" t="s">
        <v>75</v>
      </c>
      <c r="B1" s="35"/>
      <c r="C1" s="35"/>
      <c r="D1" s="35"/>
      <c r="E1" s="35"/>
    </row>
    <row r="2" spans="1:5" x14ac:dyDescent="0.3">
      <c r="A2" s="9"/>
      <c r="B2" s="9"/>
      <c r="C2" s="9"/>
      <c r="D2" s="9"/>
      <c r="E2" s="9"/>
    </row>
    <row r="3" spans="1:5" x14ac:dyDescent="0.3">
      <c r="A3" s="17" t="s">
        <v>64</v>
      </c>
      <c r="B3" s="17" t="s">
        <v>65</v>
      </c>
      <c r="C3" s="17" t="s">
        <v>66</v>
      </c>
      <c r="D3" s="17" t="s">
        <v>74</v>
      </c>
      <c r="E3" s="17" t="s">
        <v>67</v>
      </c>
    </row>
    <row r="4" spans="1:5" x14ac:dyDescent="0.3">
      <c r="A4" s="18" t="s">
        <v>68</v>
      </c>
      <c r="B4" s="23">
        <v>17275</v>
      </c>
      <c r="C4" s="23">
        <v>33534</v>
      </c>
      <c r="D4" s="24">
        <f>(C4/B4)</f>
        <v>1.9411866859623734</v>
      </c>
      <c r="E4" s="18" t="str">
        <f>IF(D4&gt;100%,"Exceeded",IF(D4=100%,"Achieved",IF(D4&lt;=80%,"Near Target","In Progress")))</f>
        <v>Exceeded</v>
      </c>
    </row>
    <row r="5" spans="1:5" x14ac:dyDescent="0.3">
      <c r="A5" s="18" t="s">
        <v>69</v>
      </c>
      <c r="B5" s="18">
        <v>32</v>
      </c>
      <c r="C5" s="18">
        <v>32</v>
      </c>
      <c r="D5" s="24">
        <f t="shared" ref="D5:D9" si="0">(C5/B5)</f>
        <v>1</v>
      </c>
      <c r="E5" s="18" t="str">
        <f t="shared" ref="E5:E9" si="1">IF(D5&gt;100%,"Exceeded",IF(D5=100%,"Achieved",IF(D5&lt;=80%,"Near Target","In Progress")))</f>
        <v>Achieved</v>
      </c>
    </row>
    <row r="6" spans="1:5" x14ac:dyDescent="0.3">
      <c r="A6" s="18" t="s">
        <v>70</v>
      </c>
      <c r="B6" s="18">
        <v>50</v>
      </c>
      <c r="C6" s="18">
        <v>57</v>
      </c>
      <c r="D6" s="24">
        <f t="shared" si="0"/>
        <v>1.1399999999999999</v>
      </c>
      <c r="E6" s="18" t="str">
        <f t="shared" si="1"/>
        <v>Exceeded</v>
      </c>
    </row>
    <row r="7" spans="1:5" x14ac:dyDescent="0.3">
      <c r="A7" s="18" t="s">
        <v>71</v>
      </c>
      <c r="B7" s="23">
        <v>5000</v>
      </c>
      <c r="C7" s="23">
        <v>8039</v>
      </c>
      <c r="D7" s="24">
        <f t="shared" si="0"/>
        <v>1.6077999999999999</v>
      </c>
      <c r="E7" s="18" t="str">
        <f t="shared" si="1"/>
        <v>Exceeded</v>
      </c>
    </row>
    <row r="8" spans="1:5" x14ac:dyDescent="0.3">
      <c r="A8" s="18" t="s">
        <v>72</v>
      </c>
      <c r="B8" s="23">
        <v>3000</v>
      </c>
      <c r="C8" s="23">
        <v>3844</v>
      </c>
      <c r="D8" s="24">
        <f t="shared" si="0"/>
        <v>1.2813333333333334</v>
      </c>
      <c r="E8" s="18" t="str">
        <f t="shared" si="1"/>
        <v>Exceeded</v>
      </c>
    </row>
    <row r="9" spans="1:5" x14ac:dyDescent="0.3">
      <c r="A9" s="18" t="s">
        <v>73</v>
      </c>
      <c r="B9" s="23">
        <v>3420</v>
      </c>
      <c r="C9" s="23">
        <v>3215</v>
      </c>
      <c r="D9" s="24">
        <f t="shared" si="0"/>
        <v>0.9400584795321637</v>
      </c>
      <c r="E9" s="18" t="str">
        <f t="shared" si="1"/>
        <v>In Progress</v>
      </c>
    </row>
    <row r="10" spans="1:5" x14ac:dyDescent="0.3">
      <c r="A10" s="9"/>
      <c r="B10" s="9"/>
      <c r="C10" s="9"/>
      <c r="D10" s="9"/>
      <c r="E10" s="9"/>
    </row>
  </sheetData>
  <mergeCells count="1">
    <mergeCell ref="A1:E1"/>
  </mergeCells>
  <conditionalFormatting sqref="D4:D9">
    <cfRule type="cellIs" dxfId="1" priority="1" operator="greaterThanOrEqual">
      <formula>1</formula>
    </cfRule>
    <cfRule type="cellIs" dxfId="0" priority="2" operator="lessThan">
      <formula>1</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35EE1-F2D5-4B4E-B143-D11EE0BA9D00}">
  <dimension ref="A1:F21"/>
  <sheetViews>
    <sheetView workbookViewId="0">
      <pane ySplit="1" topLeftCell="A7" activePane="bottomLeft" state="frozen"/>
      <selection pane="bottomLeft" activeCell="H15" sqref="H15"/>
    </sheetView>
  </sheetViews>
  <sheetFormatPr defaultRowHeight="14.4" x14ac:dyDescent="0.3"/>
  <cols>
    <col min="1" max="1" width="26.109375" customWidth="1"/>
    <col min="3" max="3" width="15.44140625" customWidth="1"/>
    <col min="4" max="4" width="29.44140625" customWidth="1"/>
    <col min="5" max="5" width="17.44140625" customWidth="1"/>
    <col min="6" max="6" width="33.44140625" customWidth="1"/>
  </cols>
  <sheetData>
    <row r="1" spans="1:6" ht="18.600000000000001" thickBot="1" x14ac:dyDescent="0.4">
      <c r="A1" s="36" t="s">
        <v>135</v>
      </c>
      <c r="B1" s="37"/>
      <c r="C1" s="37"/>
      <c r="D1" s="37"/>
      <c r="E1" s="37"/>
      <c r="F1" s="38"/>
    </row>
    <row r="2" spans="1:6" x14ac:dyDescent="0.3">
      <c r="A2" s="39"/>
      <c r="B2" s="40"/>
      <c r="C2" s="40"/>
      <c r="D2" s="40"/>
      <c r="E2" s="40"/>
      <c r="F2" s="41"/>
    </row>
    <row r="3" spans="1:6" x14ac:dyDescent="0.3">
      <c r="A3" s="17" t="s">
        <v>76</v>
      </c>
      <c r="B3" s="17" t="s">
        <v>77</v>
      </c>
      <c r="C3" s="17" t="s">
        <v>78</v>
      </c>
      <c r="D3" s="17" t="s">
        <v>79</v>
      </c>
      <c r="E3" s="17" t="s">
        <v>80</v>
      </c>
      <c r="F3" s="17" t="s">
        <v>81</v>
      </c>
    </row>
    <row r="4" spans="1:6" x14ac:dyDescent="0.3">
      <c r="A4" s="25" t="s">
        <v>82</v>
      </c>
      <c r="B4" s="25" t="s">
        <v>83</v>
      </c>
      <c r="C4" s="25" t="s">
        <v>84</v>
      </c>
      <c r="D4" s="25" t="s">
        <v>85</v>
      </c>
      <c r="E4" s="25" t="s">
        <v>86</v>
      </c>
      <c r="F4" s="25" t="s">
        <v>87</v>
      </c>
    </row>
    <row r="5" spans="1:6" x14ac:dyDescent="0.3">
      <c r="A5" s="25" t="s">
        <v>88</v>
      </c>
      <c r="B5" s="25" t="s">
        <v>83</v>
      </c>
      <c r="C5" s="25" t="s">
        <v>89</v>
      </c>
      <c r="D5" s="25" t="s">
        <v>90</v>
      </c>
      <c r="E5" s="25" t="s">
        <v>91</v>
      </c>
      <c r="F5" s="25" t="s">
        <v>92</v>
      </c>
    </row>
    <row r="6" spans="1:6" ht="28.8" x14ac:dyDescent="0.3">
      <c r="A6" s="25" t="s">
        <v>93</v>
      </c>
      <c r="B6" s="25" t="s">
        <v>83</v>
      </c>
      <c r="C6" s="25" t="s">
        <v>94</v>
      </c>
      <c r="D6" s="25" t="s">
        <v>95</v>
      </c>
      <c r="E6" s="25" t="s">
        <v>96</v>
      </c>
      <c r="F6" s="25" t="s">
        <v>97</v>
      </c>
    </row>
    <row r="7" spans="1:6" x14ac:dyDescent="0.3">
      <c r="A7" s="25" t="s">
        <v>98</v>
      </c>
      <c r="B7" s="25" t="s">
        <v>83</v>
      </c>
      <c r="C7" s="25" t="s">
        <v>99</v>
      </c>
      <c r="D7" s="25" t="s">
        <v>100</v>
      </c>
      <c r="E7" s="25" t="s">
        <v>91</v>
      </c>
      <c r="F7" s="25" t="s">
        <v>101</v>
      </c>
    </row>
    <row r="8" spans="1:6" x14ac:dyDescent="0.3">
      <c r="A8" s="25" t="s">
        <v>102</v>
      </c>
      <c r="B8" s="25" t="s">
        <v>83</v>
      </c>
      <c r="C8" s="25" t="s">
        <v>89</v>
      </c>
      <c r="D8" s="25" t="s">
        <v>103</v>
      </c>
      <c r="E8" s="25" t="s">
        <v>104</v>
      </c>
      <c r="F8" s="25" t="s">
        <v>105</v>
      </c>
    </row>
    <row r="9" spans="1:6" x14ac:dyDescent="0.3">
      <c r="A9" s="25" t="s">
        <v>106</v>
      </c>
      <c r="B9" s="25" t="s">
        <v>83</v>
      </c>
      <c r="C9" s="25" t="s">
        <v>89</v>
      </c>
      <c r="D9" s="25" t="s">
        <v>107</v>
      </c>
      <c r="E9" s="25" t="s">
        <v>108</v>
      </c>
      <c r="F9" s="25" t="s">
        <v>109</v>
      </c>
    </row>
    <row r="10" spans="1:6" x14ac:dyDescent="0.3">
      <c r="A10" s="25" t="s">
        <v>110</v>
      </c>
      <c r="B10" s="25" t="s">
        <v>83</v>
      </c>
      <c r="C10" s="25" t="s">
        <v>89</v>
      </c>
      <c r="D10" s="25" t="s">
        <v>111</v>
      </c>
      <c r="E10" s="25" t="s">
        <v>112</v>
      </c>
      <c r="F10" s="25" t="s">
        <v>113</v>
      </c>
    </row>
    <row r="11" spans="1:6" ht="28.8" x14ac:dyDescent="0.3">
      <c r="A11" s="26" t="s">
        <v>114</v>
      </c>
      <c r="B11" s="26" t="s">
        <v>115</v>
      </c>
      <c r="C11" s="26" t="s">
        <v>116</v>
      </c>
      <c r="D11" s="26" t="s">
        <v>117</v>
      </c>
      <c r="E11" s="26" t="s">
        <v>118</v>
      </c>
      <c r="F11" s="26" t="s">
        <v>119</v>
      </c>
    </row>
    <row r="12" spans="1:6" ht="28.8" x14ac:dyDescent="0.3">
      <c r="A12" s="26" t="s">
        <v>120</v>
      </c>
      <c r="B12" s="26" t="s">
        <v>115</v>
      </c>
      <c r="C12" s="26" t="s">
        <v>121</v>
      </c>
      <c r="D12" s="26" t="s">
        <v>122</v>
      </c>
      <c r="E12" s="26" t="s">
        <v>118</v>
      </c>
      <c r="F12" s="26" t="s">
        <v>123</v>
      </c>
    </row>
    <row r="13" spans="1:6" ht="28.8" x14ac:dyDescent="0.3">
      <c r="A13" s="26" t="s">
        <v>124</v>
      </c>
      <c r="B13" s="26" t="s">
        <v>115</v>
      </c>
      <c r="C13" s="26" t="s">
        <v>116</v>
      </c>
      <c r="D13" s="26" t="s">
        <v>125</v>
      </c>
      <c r="E13" s="26" t="s">
        <v>118</v>
      </c>
      <c r="F13" s="26" t="s">
        <v>126</v>
      </c>
    </row>
    <row r="14" spans="1:6" x14ac:dyDescent="0.3">
      <c r="A14" s="26" t="s">
        <v>127</v>
      </c>
      <c r="B14" s="26" t="s">
        <v>115</v>
      </c>
      <c r="C14" s="26" t="s">
        <v>128</v>
      </c>
      <c r="D14" s="26" t="s">
        <v>129</v>
      </c>
      <c r="E14" s="26" t="s">
        <v>118</v>
      </c>
      <c r="F14" s="26" t="s">
        <v>130</v>
      </c>
    </row>
    <row r="15" spans="1:6" ht="28.8" x14ac:dyDescent="0.3">
      <c r="A15" s="26" t="s">
        <v>131</v>
      </c>
      <c r="B15" s="26" t="s">
        <v>115</v>
      </c>
      <c r="C15" s="26" t="s">
        <v>132</v>
      </c>
      <c r="D15" s="26" t="s">
        <v>133</v>
      </c>
      <c r="E15" s="26" t="s">
        <v>118</v>
      </c>
      <c r="F15" s="26" t="s">
        <v>134</v>
      </c>
    </row>
    <row r="16" spans="1:6" x14ac:dyDescent="0.3">
      <c r="A16" s="42"/>
      <c r="B16" s="43"/>
      <c r="C16" s="43"/>
      <c r="D16" s="43"/>
      <c r="E16" s="43"/>
      <c r="F16" s="44"/>
    </row>
    <row r="19" spans="1:2" x14ac:dyDescent="0.3">
      <c r="A19" s="17" t="s">
        <v>136</v>
      </c>
      <c r="B19" s="17" t="s">
        <v>137</v>
      </c>
    </row>
    <row r="20" spans="1:2" x14ac:dyDescent="0.3">
      <c r="A20" s="18" t="s">
        <v>138</v>
      </c>
      <c r="B20" s="18">
        <v>7</v>
      </c>
    </row>
    <row r="21" spans="1:2" x14ac:dyDescent="0.3">
      <c r="A21" s="18" t="s">
        <v>139</v>
      </c>
      <c r="B21" s="18">
        <v>5</v>
      </c>
    </row>
  </sheetData>
  <mergeCells count="3">
    <mergeCell ref="A1:F1"/>
    <mergeCell ref="A2:F2"/>
    <mergeCell ref="A16:F1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4AE08-4C44-4FBC-96A2-7203255C5066}">
  <dimension ref="A1:E14"/>
  <sheetViews>
    <sheetView workbookViewId="0">
      <pane ySplit="1" topLeftCell="A2" activePane="bottomLeft" state="frozen"/>
      <selection pane="bottomLeft" activeCell="A26" sqref="A26"/>
    </sheetView>
  </sheetViews>
  <sheetFormatPr defaultRowHeight="14.4" x14ac:dyDescent="0.3"/>
  <cols>
    <col min="1" max="1" width="31.5546875" customWidth="1"/>
    <col min="2" max="2" width="52.6640625" customWidth="1"/>
    <col min="3" max="3" width="22.109375" customWidth="1"/>
    <col min="4" max="4" width="21.21875" customWidth="1"/>
    <col min="5" max="5" width="43.21875" customWidth="1"/>
  </cols>
  <sheetData>
    <row r="1" spans="1:5" ht="15.6" x14ac:dyDescent="0.3">
      <c r="A1" s="35" t="s">
        <v>180</v>
      </c>
      <c r="B1" s="35"/>
      <c r="C1" s="35"/>
      <c r="D1" s="35"/>
      <c r="E1" s="35"/>
    </row>
    <row r="2" spans="1:5" x14ac:dyDescent="0.3">
      <c r="A2" s="42"/>
      <c r="B2" s="43"/>
      <c r="C2" s="43"/>
      <c r="D2" s="43"/>
      <c r="E2" s="44"/>
    </row>
    <row r="3" spans="1:5" x14ac:dyDescent="0.3">
      <c r="A3" s="17" t="s">
        <v>140</v>
      </c>
      <c r="B3" s="17" t="s">
        <v>141</v>
      </c>
      <c r="C3" s="17" t="s">
        <v>77</v>
      </c>
      <c r="D3" s="17" t="s">
        <v>142</v>
      </c>
      <c r="E3" s="17" t="s">
        <v>143</v>
      </c>
    </row>
    <row r="4" spans="1:5" ht="28.8" x14ac:dyDescent="0.3">
      <c r="A4" s="18" t="s">
        <v>144</v>
      </c>
      <c r="B4" s="27" t="s">
        <v>145</v>
      </c>
      <c r="C4" s="18" t="s">
        <v>146</v>
      </c>
      <c r="D4" s="28">
        <v>46163</v>
      </c>
      <c r="E4" s="18" t="s">
        <v>147</v>
      </c>
    </row>
    <row r="5" spans="1:5" x14ac:dyDescent="0.3">
      <c r="A5" s="18" t="s">
        <v>148</v>
      </c>
      <c r="B5" s="27" t="s">
        <v>149</v>
      </c>
      <c r="C5" s="18" t="s">
        <v>146</v>
      </c>
      <c r="D5" s="28">
        <v>46163</v>
      </c>
      <c r="E5" s="18" t="s">
        <v>150</v>
      </c>
    </row>
    <row r="6" spans="1:5" x14ac:dyDescent="0.3">
      <c r="A6" s="18" t="s">
        <v>151</v>
      </c>
      <c r="B6" s="27" t="s">
        <v>152</v>
      </c>
      <c r="C6" s="18" t="s">
        <v>153</v>
      </c>
      <c r="D6" s="28">
        <v>46163</v>
      </c>
      <c r="E6" s="18" t="s">
        <v>154</v>
      </c>
    </row>
    <row r="7" spans="1:5" x14ac:dyDescent="0.3">
      <c r="A7" s="18" t="s">
        <v>155</v>
      </c>
      <c r="B7" s="27" t="s">
        <v>156</v>
      </c>
      <c r="C7" s="18" t="s">
        <v>153</v>
      </c>
      <c r="D7" s="28">
        <v>46163</v>
      </c>
      <c r="E7" s="18" t="s">
        <v>157</v>
      </c>
    </row>
    <row r="8" spans="1:5" x14ac:dyDescent="0.3">
      <c r="A8" s="18" t="s">
        <v>158</v>
      </c>
      <c r="B8" s="27" t="s">
        <v>159</v>
      </c>
      <c r="C8" s="18" t="s">
        <v>160</v>
      </c>
      <c r="D8" s="28">
        <v>46163</v>
      </c>
      <c r="E8" s="18" t="s">
        <v>161</v>
      </c>
    </row>
    <row r="9" spans="1:5" x14ac:dyDescent="0.3">
      <c r="A9" s="18" t="s">
        <v>162</v>
      </c>
      <c r="B9" s="27" t="s">
        <v>163</v>
      </c>
      <c r="C9" s="18" t="s">
        <v>164</v>
      </c>
      <c r="D9" s="28">
        <v>46163</v>
      </c>
      <c r="E9" s="18" t="s">
        <v>165</v>
      </c>
    </row>
    <row r="10" spans="1:5" x14ac:dyDescent="0.3">
      <c r="A10" s="18" t="s">
        <v>166</v>
      </c>
      <c r="B10" s="27" t="s">
        <v>167</v>
      </c>
      <c r="C10" s="18" t="s">
        <v>164</v>
      </c>
      <c r="D10" s="28">
        <v>46163</v>
      </c>
      <c r="E10" s="18" t="s">
        <v>168</v>
      </c>
    </row>
    <row r="11" spans="1:5" x14ac:dyDescent="0.3">
      <c r="A11" s="18" t="s">
        <v>169</v>
      </c>
      <c r="B11" s="27" t="s">
        <v>170</v>
      </c>
      <c r="C11" s="18" t="s">
        <v>171</v>
      </c>
      <c r="D11" s="28">
        <v>46163</v>
      </c>
      <c r="E11" s="18" t="s">
        <v>172</v>
      </c>
    </row>
    <row r="12" spans="1:5" ht="28.8" x14ac:dyDescent="0.3">
      <c r="A12" s="18" t="s">
        <v>173</v>
      </c>
      <c r="B12" s="27" t="s">
        <v>174</v>
      </c>
      <c r="C12" s="18" t="s">
        <v>175</v>
      </c>
      <c r="D12" s="28">
        <v>46163</v>
      </c>
      <c r="E12" s="18" t="s">
        <v>176</v>
      </c>
    </row>
    <row r="13" spans="1:5" x14ac:dyDescent="0.3">
      <c r="A13" s="18" t="s">
        <v>177</v>
      </c>
      <c r="B13" s="27" t="s">
        <v>178</v>
      </c>
      <c r="C13" s="18" t="s">
        <v>153</v>
      </c>
      <c r="D13" s="28">
        <v>46163</v>
      </c>
      <c r="E13" s="18" t="s">
        <v>179</v>
      </c>
    </row>
    <row r="14" spans="1:5" x14ac:dyDescent="0.3">
      <c r="A14" s="42"/>
      <c r="B14" s="43"/>
      <c r="C14" s="43"/>
      <c r="D14" s="43"/>
      <c r="E14" s="44"/>
    </row>
  </sheetData>
  <autoFilter ref="C3:C13" xr:uid="{7954AE08-4C44-4FBC-96A2-7203255C5066}"/>
  <mergeCells count="3">
    <mergeCell ref="A1:E1"/>
    <mergeCell ref="A2:E2"/>
    <mergeCell ref="A14:E14"/>
  </mergeCells>
  <hyperlinks>
    <hyperlink ref="B4" r:id="rId1" xr:uid="{B79B3C93-2AA1-46CE-A4A8-429AAFC62B99}"/>
    <hyperlink ref="B5" r:id="rId2" xr:uid="{D3107A69-DD3C-4BD6-901F-7FAD5D849FB5}"/>
    <hyperlink ref="B6" r:id="rId3" display="https://pib.gov.in/" xr:uid="{D39B3B51-4673-49D3-BD34-18465E6DF515}"/>
    <hyperlink ref="B7" r:id="rId4" display="https://www.investindia.gov.in/" xr:uid="{A82CB188-C752-434D-A1B4-DEE4400E2453}"/>
    <hyperlink ref="B8" r:id="rId5" display="https://www.india-briefing.com/" xr:uid="{D7DE54A8-2EB6-4EF1-8F9E-CF3AFBEAAE3D}"/>
    <hyperlink ref="B9" r:id="rId6" display="https://www.imarcgroup.com/" xr:uid="{902A7475-1A96-4F31-BBEF-B18E954D78E2}"/>
    <hyperlink ref="B10" r:id="rId7" display="https://www.fortunebusinessinsights.com/" xr:uid="{D0850EEF-509A-44FF-92AD-D08CC266F8F7}"/>
    <hyperlink ref="B11" r:id="rId8" display="https://prsindia.org/" xr:uid="{6A132DB6-2D9C-4817-A098-4C5C95F4DF4D}"/>
    <hyperlink ref="B12" r:id="rId9" xr:uid="{EF98432C-2928-4DDB-8FA0-62E7429E1C19}"/>
    <hyperlink ref="B13" r:id="rId10" display="https://pharmaceuticals.gov.in/" xr:uid="{412CEF6D-2F37-48FA-A79C-1B8EF6204423}"/>
  </hyperlinks>
  <pageMargins left="0.7" right="0.7" top="0.75" bottom="0.75" header="0.3" footer="0.3"/>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Market size</vt:lpstr>
      <vt:lpstr>Segment analysis</vt:lpstr>
      <vt:lpstr>Trade analysis</vt:lpstr>
      <vt:lpstr>PLI Scheme</vt:lpstr>
      <vt:lpstr>Companies</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2026-05-15T15:11:56Z</dcterms:created>
  <dcterms:modified xsi:type="dcterms:W3CDTF">2026-05-24T05:15:29Z</dcterms:modified>
</cp:coreProperties>
</file>